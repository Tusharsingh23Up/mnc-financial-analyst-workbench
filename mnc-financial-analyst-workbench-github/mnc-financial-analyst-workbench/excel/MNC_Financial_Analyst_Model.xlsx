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f29f19315b4c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d0efcb99aadf473f"/>
    <x:sheet xmlns:r="http://schemas.openxmlformats.org/officeDocument/2006/relationships" name="Raw Financials" sheetId="2" r:id="R47d4e942d9314db1"/>
    <x:sheet xmlns:r="http://schemas.openxmlformats.org/officeDocument/2006/relationships" name="Assumptions" sheetId="3" r:id="R89f22c29d85d47f2"/>
    <x:sheet xmlns:r="http://schemas.openxmlformats.org/officeDocument/2006/relationships" name="Ratios" sheetId="4" r:id="Rda1b5936a8d44f77"/>
    <x:sheet xmlns:r="http://schemas.openxmlformats.org/officeDocument/2006/relationships" name="Forecast" sheetId="5" r:id="Raafec1a8f51f403f"/>
    <x:sheet xmlns:r="http://schemas.openxmlformats.org/officeDocument/2006/relationships" name="DCF Valuation" sheetId="6" r:id="R55a8ff5567774a9e"/>
    <x:sheet xmlns:r="http://schemas.openxmlformats.org/officeDocument/2006/relationships" name="Dashboard" sheetId="7" r:id="R0de38ab881bf4181"/>
    <x:sheet xmlns:r="http://schemas.openxmlformats.org/officeDocument/2006/relationships" name="Sources" sheetId="8" r:id="R056f41e520094d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;[Red]($#,##0);-"/>
    <x:numFmt numFmtId="201" formatCode="#,##0;[Red](#,##0);-"/>
    <x:numFmt numFmtId="202" formatCode="0.0%;[Red](0.0%);-"/>
    <x:numFmt numFmtId="203" formatCode="0.0x;[Red](0.0x);-"/>
    <x:numFmt numFmtId="204" formatCode="$0.00;[Red]($0.00);-"/>
  </x:numFmts>
  <x:fonts count="7">
    <x:font>
      <x:sz val="11"/>
      <x:name val="Carlito"/>
    </x:font>
    <x:font>
      <x:b/>
      <x:sz val="20"/>
      <x:color rgb="FFFFFF"/>
      <x:name val="Carlito"/>
    </x:font>
    <x:font>
      <x:b/>
      <x:sz val="11"/>
      <x:color rgb="FFFFFF"/>
      <x:name val="Carlito"/>
    </x:font>
    <x:font>
      <x:sz val="11"/>
      <x:color rgb="0000FF"/>
      <x:name val="Carlito"/>
    </x:font>
    <x:font>
      <x:sz val="11"/>
      <x:color rgb="000000"/>
      <x:name val="Carlito"/>
    </x:font>
    <x:font>
      <x:b/>
      <x:sz val="16"/>
      <x:color rgb="FFFFFF"/>
      <x:name val="Carlito"/>
    </x:font>
    <x:font>
      <x:b/>
      <x:sz val="18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000000"/>
      </x:patternFill>
    </x:fill>
    <x:fill>
      <x:patternFill patternType="solid">
        <x:fgColor rgb="1F4E78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0" fontId="2" fillId="4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wrapText="1"/>
    </x:xf>
    <x:xf numFmtId="201" fontId="3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203" fontId="4" fillId="0" borderId="0" xfId="0" applyNumberFormat="1" applyFont="1" applyFill="1" applyBorder="1"/>
    <x:xf numFmtId="203" fontId="4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5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7cb84de492406b" /><Relationship Type="http://schemas.openxmlformats.org/officeDocument/2006/relationships/theme" Target="/xl/theme/theme1.xml" Id="R908b00dc7fef4d1f" /><Relationship Type="http://schemas.openxmlformats.org/officeDocument/2006/relationships/sharedStrings" Target="/xl/sharedStrings.xml" Id="R0f71721cc8f64bf7" /><Relationship Type="http://schemas.openxmlformats.org/officeDocument/2006/relationships/worksheet" Target="/xl/worksheets/sheet1.xml" Id="Rd0efcb99aadf473f" /><Relationship Type="http://schemas.openxmlformats.org/officeDocument/2006/relationships/worksheet" Target="/xl/worksheets/sheet2.xml" Id="R47d4e942d9314db1" /><Relationship Type="http://schemas.openxmlformats.org/officeDocument/2006/relationships/worksheet" Target="/xl/worksheets/sheet3.xml" Id="R89f22c29d85d47f2" /><Relationship Type="http://schemas.openxmlformats.org/officeDocument/2006/relationships/worksheet" Target="/xl/worksheets/sheet4.xml" Id="Rda1b5936a8d44f77" /><Relationship Type="http://schemas.openxmlformats.org/officeDocument/2006/relationships/worksheet" Target="/xl/worksheets/sheet5.xml" Id="Raafec1a8f51f403f" /><Relationship Type="http://schemas.openxmlformats.org/officeDocument/2006/relationships/worksheet" Target="/xl/worksheets/sheet6.xml" Id="R55a8ff5567774a9e" /><Relationship Type="http://schemas.openxmlformats.org/officeDocument/2006/relationships/worksheet" Target="/xl/worksheets/sheet7.xml" Id="R0de38ab881bf4181" /><Relationship Type="http://schemas.openxmlformats.org/officeDocument/2006/relationships/worksheet" Target="/xl/worksheets/sheet8.xml" Id="R056f41e520094de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51143ad0fe24bc1" /><Relationship Type="http://schemas.openxmlformats.org/officeDocument/2006/relationships/chart" Target="/xl/drawings/charts/chart2.xml" Id="R86178cf5d88d418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Peer Margins and CAGR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 CAGR</c:v>
          </c:tx>
          <c:cat>
            <c:strRef>
              <c:f>'Dashboard'!$A$7:$A$9</c:f>
              <c:strCache>
                <c:ptCount val="0"/>
              </c:strCache>
            </c:strRef>
          </c:cat>
          <c:val>
            <c:numRef>
              <c:f>'Dashboard'!$B$7:$B$9</c:f>
              <c:numCache>
                <c:formatCode>0.0%;[Red](0.0%);-</c:formatCode>
                <c:ptCount val="0"/>
              </c:numCache>
            </c:numRef>
          </c:val>
        </c:ser>
        <c:ser>
          <c:idx val="1"/>
          <c:order val="1"/>
          <c:tx>
            <c:v>Gross Margin</c:v>
          </c:tx>
          <c:cat>
            <c:strRef>
              <c:f>'Dashboard'!$A$7:$A$9</c:f>
              <c:strCache>
                <c:ptCount val="0"/>
              </c:strCache>
            </c:strRef>
          </c:cat>
          <c:val>
            <c:numRef>
              <c:f>'Dashboard'!$C$7:$C$9</c:f>
              <c:numCache>
                <c:formatCode>0.0%;[Red](0.0%);-</c:formatCode>
                <c:ptCount val="0"/>
              </c:numCache>
            </c:numRef>
          </c:val>
        </c:ser>
        <c:ser>
          <c:idx val="2"/>
          <c:order val="2"/>
          <c:tx>
            <c:v>EBIT Margin</c:v>
          </c:tx>
          <c:cat>
            <c:strRef>
              <c:f>'Dashboard'!$A$7:$A$9</c:f>
              <c:strCache>
                <c:ptCount val="0"/>
              </c:strCache>
            </c:strRef>
          </c:cat>
          <c:val>
            <c:numRef>
              <c:f>'Dashboard'!$D$7:$D$9</c:f>
              <c:numCache>
                <c:formatCode>0.0%;[Red](0.0%);-</c:formatCode>
                <c:ptCount val="0"/>
              </c:numCache>
            </c:numRef>
          </c:val>
        </c:ser>
        <c:ser>
          <c:idx val="3"/>
          <c:order val="3"/>
          <c:tx>
            <c:v>Net Margin</c:v>
          </c:tx>
          <c:cat>
            <c:strRef>
              <c:f>'Dashboard'!$A$7:$A$9</c:f>
              <c:strCache>
                <c:ptCount val="0"/>
              </c:strCache>
            </c:strRef>
          </c:cat>
          <c:val>
            <c:numRef>
              <c:f>'Dashboard'!$E$7:$E$9</c:f>
              <c:numCache>
                <c:formatCode>0.0%;[Red](0.0%);-</c:formatCode>
                <c:ptCount val="0"/>
              </c:numCache>
            </c:numRef>
          </c:val>
        </c:ser>
        <c:ser>
          <c:idx val="4"/>
          <c:order val="4"/>
          <c:tx>
            <c:v>FCF Margin</c:v>
          </c:tx>
          <c:cat>
            <c:strRef>
              <c:f>'Dashboard'!$A$7:$A$9</c:f>
              <c:strCache>
                <c:ptCount val="0"/>
              </c:strCache>
            </c:strRef>
          </c:cat>
          <c:val>
            <c:numRef>
              <c:f>'Dashboard'!$F$7:$F$9</c:f>
              <c:numCache>
                <c:formatCode>0.0%;[Red](0.0%);-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Latest Revenue and FCF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Revenue CAGR</c:v>
          </c:tx>
          <c:cat>
            <c:strRef>
              <c:f>'Dashboard'!$A$7:$A$9</c:f>
              <c:strCache>
                <c:ptCount val="0"/>
              </c:strCache>
            </c:strRef>
          </c:cat>
          <c:val>
            <c:numRef>
              <c:f>'Dashboard'!$B$7:$B$9</c:f>
              <c:numCache>
                <c:formatCode>0.0%;[Red](0.0%);-</c:formatCode>
                <c:ptCount val="0"/>
              </c:numCache>
            </c:numRef>
          </c:val>
        </c:ser>
        <c:ser>
          <c:idx val="1"/>
          <c:order val="1"/>
          <c:tx>
            <c:v>Gross Margin</c:v>
          </c:tx>
          <c:cat>
            <c:strRef>
              <c:f>'Dashboard'!$A$7:$A$9</c:f>
              <c:strCache>
                <c:ptCount val="0"/>
              </c:strCache>
            </c:strRef>
          </c:cat>
          <c:val>
            <c:numRef>
              <c:f>'Dashboard'!$C$7:$C$9</c:f>
              <c:numCache>
                <c:formatCode>0.0%;[Red](0.0%);-</c:formatCode>
                <c:ptCount val="0"/>
              </c:numCache>
            </c:numRef>
          </c:val>
        </c:ser>
        <c:ser>
          <c:idx val="2"/>
          <c:order val="2"/>
          <c:tx>
            <c:v>EBIT Margin</c:v>
          </c:tx>
          <c:cat>
            <c:strRef>
              <c:f>'Dashboard'!$A$7:$A$9</c:f>
              <c:strCache>
                <c:ptCount val="0"/>
              </c:strCache>
            </c:strRef>
          </c:cat>
          <c:val>
            <c:numRef>
              <c:f>'Dashboard'!$D$7:$D$9</c:f>
              <c:numCache>
                <c:formatCode>0.0%;[Red](0.0%);-</c:formatCode>
                <c:ptCount val="0"/>
              </c:numCache>
            </c:numRef>
          </c:val>
        </c:ser>
        <c:ser>
          <c:idx val="3"/>
          <c:order val="3"/>
          <c:tx>
            <c:v>Net Margin</c:v>
          </c:tx>
          <c:cat>
            <c:strRef>
              <c:f>'Dashboard'!$A$7:$A$9</c:f>
              <c:strCache>
                <c:ptCount val="0"/>
              </c:strCache>
            </c:strRef>
          </c:cat>
          <c:val>
            <c:numRef>
              <c:f>'Dashboard'!$E$7:$E$9</c:f>
              <c:numCache>
                <c:formatCode>0.0%;[Red](0.0%);-</c:formatCode>
                <c:ptCount val="0"/>
              </c:numCache>
            </c:numRef>
          </c:val>
        </c:ser>
        <c:ser>
          <c:idx val="4"/>
          <c:order val="4"/>
          <c:tx>
            <c:v>FCF Margin</c:v>
          </c:tx>
          <c:cat>
            <c:strRef>
              <c:f>'Dashboard'!$A$7:$A$9</c:f>
              <c:strCache>
                <c:ptCount val="0"/>
              </c:strCache>
            </c:strRef>
          </c:cat>
          <c:val>
            <c:numRef>
              <c:f>'Dashboard'!$F$7:$F$9</c:f>
              <c:numCache>
                <c:formatCode>0.0%;[Red](0.0%);-</c:formatCode>
                <c:ptCount val="0"/>
              </c:numCache>
            </c:numRef>
          </c:val>
        </c:ser>
        <c:ser>
          <c:idx val="5"/>
          <c:order val="5"/>
          <c:tx>
            <c:v>Debt / Cash</c:v>
          </c:tx>
          <c:cat>
            <c:strRef>
              <c:f>'Dashboard'!$A$7:$A$9</c:f>
              <c:strCache>
                <c:ptCount val="0"/>
              </c:strCache>
            </c:strRef>
          </c:cat>
          <c:val>
            <c:numRef>
              <c:f>'Dashboard'!$G$7:$G$9</c:f>
              <c:numCache>
                <c:formatCode>0.0x;[Red](0.0x);-</c:formatCode>
                <c:ptCount val="0"/>
              </c:numCache>
            </c:numRef>
          </c:val>
        </c:ser>
        <c:ser>
          <c:idx val="6"/>
          <c:order val="6"/>
          <c:tx>
            <c:v>Latest Revenue ($mm)</c:v>
          </c:tx>
          <c:cat>
            <c:strRef>
              <c:f>'Dashboard'!$A$7:$A$9</c:f>
              <c:strCache>
                <c:ptCount val="0"/>
              </c:strCache>
            </c:strRef>
          </c:cat>
          <c:val>
            <c:numRef>
              <c:f>'Dashboard'!$H$7:$H$9</c:f>
              <c:numCache>
                <c:formatCode>$#,##0;[Red]($#,##0);-</c:formatCode>
                <c:ptCount val="0"/>
              </c:numCache>
            </c:numRef>
          </c:val>
        </c:ser>
        <c:ser>
          <c:idx val="7"/>
          <c:order val="7"/>
          <c:tx>
            <c:v>Latest FCF ($mm)</c:v>
          </c:tx>
          <c:cat>
            <c:strRef>
              <c:f>'Dashboard'!$A$7:$A$9</c:f>
              <c:strCache>
                <c:ptCount val="0"/>
              </c:strCache>
            </c:strRef>
          </c:cat>
          <c:val>
            <c:numRef>
              <c:f>'Dashboard'!$I$7:$I$9</c:f>
              <c:numCache>
                <c:formatCode>$#,##0;[Red]($#,##0);-</c:formatCode>
                <c:ptCount val="0"/>
              </c:numCache>
            </c:numRef>
          </c:val>
        </c:ser>
        <c:ser>
          <c:idx val="8"/>
          <c:order val="8"/>
          <c:tx>
            <c:v>Cash ($mm)</c:v>
          </c:tx>
          <c:cat>
            <c:strRef>
              <c:f>'Dashboard'!$A$7:$A$9</c:f>
              <c:strCache>
                <c:ptCount val="0"/>
              </c:strCache>
            </c:strRef>
          </c:cat>
          <c:val>
            <c:numRef>
              <c:f>'Dashboard'!$J$7:$J$9</c:f>
              <c:numCache>
                <c:formatCode>$#,##0;[Red]($#,##0);-</c:formatCode>
                <c:ptCount val="0"/>
              </c:numCache>
            </c:numRef>
          </c:val>
        </c:ser>
        <c:ser>
          <c:idx val="9"/>
          <c:order val="9"/>
          <c:tx>
            <c:v>Debt ($mm)</c:v>
          </c:tx>
          <c:cat>
            <c:strRef>
              <c:f>'Dashboard'!$A$7:$A$9</c:f>
              <c:strCache>
                <c:ptCount val="0"/>
              </c:strCache>
            </c:strRef>
          </c:cat>
          <c:val>
            <c:numRef>
              <c:f>'Dashboard'!$K$7:$K$9</c:f>
              <c:numCache>
                <c:formatCode>$#,##0;[Red]($#,##0);-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6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1143ad0fe24bc1"/>
        </a:graphicData>
      </a:graphic>
    </xdr:graphicFrame>
    <xdr:clientData/>
  </xdr:twoCellAnchor>
  <xdr:twoCellAnchor>
    <xdr:from>
      <xdr:col>6</xdr:col>
      <xdr:colOff>0</xdr:colOff>
      <xdr:row>11</xdr:row>
      <xdr:rowOff>0</xdr:rowOff>
    </xdr:from>
    <xdr:to>
      <xdr:col>11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178cf5d88d418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awFinancialsTable" displayName="RawFinancialsTable" ref="A1:L16" headerRowCount="1">
  <x:tableColumns count="12">
    <x:tableColumn id="1" name="Ticker"/>
    <x:tableColumn id="2" name="Company"/>
    <x:tableColumn id="3" name="Fiscal Year"/>
    <x:tableColumn id="4" name="Revenue ($mm)"/>
    <x:tableColumn id="5" name="COGS ($mm)"/>
    <x:tableColumn id="6" name="EBIT ($mm)"/>
    <x:tableColumn id="7" name="Net Income ($mm)"/>
    <x:tableColumn id="8" name="Cash From Ops ($mm)"/>
    <x:tableColumn id="9" name="Capex ($mm)"/>
    <x:tableColumn id="10" name="Cash &amp; STI ($mm)"/>
    <x:tableColumn id="11" name="Total Debt ($mm)"/>
    <x:tableColumn id="12" name="Diluted Shares (mm)"/>
  </x:tableColumns>
  <x:tableStyleInfo name="TableStyleMedium2" showRowStripes="1"/>
</x:table>
</file>

<file path=xl/tables/table2.xml><?xml version="1.0" encoding="utf-8"?>
<x:table xmlns:x="http://schemas.openxmlformats.org/spreadsheetml/2006/main" id="2" name="RatiosTable" displayName="RatiosTable" ref="A1:K16" headerRowCount="1">
  <x:tableColumns count="11">
    <x:tableColumn id="1" name="Ticker"/>
    <x:tableColumn id="2" name="Company"/>
    <x:tableColumn id="3" name="Fiscal Year"/>
    <x:tableColumn id="4" name="Revenue ($mm)"/>
    <x:tableColumn id="5" name="Gross Profit ($mm)"/>
    <x:tableColumn id="6" name="Gross Margin"/>
    <x:tableColumn id="7" name="EBIT Margin"/>
    <x:tableColumn id="8" name="Net Margin"/>
    <x:tableColumn id="9" name="Free Cash Flow ($mm)"/>
    <x:tableColumn id="10" name="FCF Margin"/>
    <x:tableColumn id="11" name="Debt / Cas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d2b933d86c41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e5476ab027e493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13993c63c0b14c1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4" t="str">
        <x:v>MNC Financial Analyst Workbench</x:v>
      </x:c>
    </x:row>
    <x:row r="3">
      <x:c r="A3" s="10" t="str">
        <x:v>Purpose</x:v>
      </x:c>
    </x:row>
    <x:row r="4">
      <x:c r="A4" s="14" t="str">
        <x:v>This workbook is a portfolio-ready finance model demonstrating 5-year financial statement analysis, ratios, forecasting, DCF valuation, peer benchmarking and executive dashboarding for Apple, Microsoft and Alphabet.</x:v>
      </x:c>
      <x:c r="B4" s="14"/>
      <x:c r="C4" s="14"/>
      <x:c r="D4" s="14"/>
      <x:c r="E4" s="14"/>
      <x:c r="F4" s="14"/>
      <x:c r="G4" s="14"/>
      <x:c r="H4" s="14"/>
    </x:row>
    <x:row r="5">
      <x:c r="A5" s="14" t="str">
        <x:v>Use this as a recruiter-facing project artifact. Replace sample data with audited SEC EDGAR data before publishing investment conclusions.</x:v>
      </x:c>
      <x:c r="B5" s="14"/>
      <x:c r="C5" s="14"/>
      <x:c r="D5" s="14"/>
      <x:c r="E5" s="14"/>
      <x:c r="F5" s="14"/>
      <x:c r="G5" s="14"/>
      <x:c r="H5" s="14"/>
    </x:row>
    <x:row r="6">
      <x:c r="A6" s="14" t="str">
        <x:v>Color rules: blue = hardcoded inputs; black = formulas; green = same-workbook links; yellow fill = assumptions to update.</x:v>
      </x:c>
      <x:c r="B6" s="14"/>
      <x:c r="C6" s="14"/>
      <x:c r="D6" s="14"/>
      <x:c r="E6" s="14"/>
      <x:c r="F6" s="14"/>
      <x:c r="G6" s="14"/>
      <x:c r="H6" s="14"/>
    </x:row>
    <x:row r="7">
      <x:c r="A7" s="14" t="str">
        <x:v>Units: USD millions unless otherwise stated.</x:v>
      </x:c>
      <x:c r="B7" s="14"/>
      <x:c r="C7" s="14"/>
      <x:c r="D7" s="14"/>
      <x:c r="E7" s="14"/>
      <x:c r="F7" s="14"/>
      <x:c r="G7" s="14"/>
      <x:c r="H7" s="14"/>
    </x:row>
    <x:row r="8">
      <x:c r="A8" s="14" t="str">
        <x:v>Not investment advice.</x:v>
      </x:c>
      <x:c r="B8" s="14"/>
      <x:c r="C8" s="14"/>
      <x:c r="D8" s="14"/>
      <x:c r="E8" s="14"/>
      <x:c r="F8" s="14"/>
      <x:c r="G8" s="14"/>
      <x:c r="H8" s="14"/>
    </x:row>
    <x:row r="10">
      <x:c r="A10" s="19" t="str">
        <x:v>Workbook Sheet</x:v>
      </x:c>
      <x:c r="B10" s="19" t="str">
        <x:v>What it Shows</x:v>
      </x:c>
    </x:row>
    <x:row r="11">
      <x:c r="A11" t="str">
        <x:v>Raw Financials</x:v>
      </x:c>
      <x:c r="B11" t="str">
        <x:v>Sample historical financials from FY2020-FY2024</x:v>
      </x:c>
    </x:row>
    <x:row r="12">
      <x:c r="A12" t="str">
        <x:v>Assumptions</x:v>
      </x:c>
      <x:c r="B12" t="str">
        <x:v>Scenario assumptions for Bear/Base/Bull</x:v>
      </x:c>
    </x:row>
    <x:row r="13">
      <x:c r="A13" t="str">
        <x:v>Ratios</x:v>
      </x:c>
      <x:c r="B13" t="str">
        <x:v>Profitability, cash-flow and leverage ratio calculations</x:v>
      </x:c>
    </x:row>
    <x:row r="14">
      <x:c r="A14" t="str">
        <x:v>Forecast</x:v>
      </x:c>
      <x:c r="B14" t="str">
        <x:v>Simplified 5-year forecast for selected company</x:v>
      </x:c>
    </x:row>
    <x:row r="15">
      <x:c r="A15" t="str">
        <x:v>DCF Valuation</x:v>
      </x:c>
      <x:c r="B15" t="str">
        <x:v>DCF bridge to enterprise value and equity value/share</x:v>
      </x:c>
    </x:row>
    <x:row r="16">
      <x:c r="A16" t="str">
        <x:v>Dashboard</x:v>
      </x:c>
      <x:c r="B16" t="str">
        <x:v>KPI and peer summary view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.920000076293945" hidden="0" customWidth="1"/>
    <x:col min="2" max="2" width="12.380000114440918" hidden="0" customWidth="1"/>
    <x:col min="3" max="3" width="8.34000015258789" hidden="0" customWidth="1"/>
    <x:col min="4" max="4" width="12.920000076293945" hidden="0" customWidth="1"/>
    <x:col min="5" max="5" width="10.359999656677246" hidden="0" customWidth="1"/>
    <x:col min="6" max="6" width="9.420000076293945" hidden="0" customWidth="1"/>
    <x:col min="7" max="7" width="15.34000015258789" hidden="0" customWidth="1"/>
    <x:col min="8" max="8" width="18.030000686645508" hidden="0" customWidth="1"/>
    <x:col min="9" max="9" width="10.770000457763672" hidden="0" customWidth="1"/>
    <x:col min="10" max="10" width="14.399999618530273" hidden="0" customWidth="1"/>
    <x:col min="11" max="11" width="14.270000457763672" hidden="0" customWidth="1"/>
    <x:col min="12" max="12" width="16.690000534057617" hidden="0" customWidth="1"/>
  </x:cols>
  <x:sheetData>
    <x:row r="1">
      <x:c r="A1" s="30" t="str">
        <x:v>Ticker</x:v>
      </x:c>
      <x:c r="B1" s="30" t="str">
        <x:v>Company</x:v>
      </x:c>
      <x:c r="C1" s="30" t="str">
        <x:v>Fiscal Year</x:v>
      </x:c>
      <x:c r="D1" s="30" t="str">
        <x:v>Revenue ($mm)</x:v>
      </x:c>
      <x:c r="E1" s="30" t="str">
        <x:v>COGS ($mm)</x:v>
      </x:c>
      <x:c r="F1" s="30" t="str">
        <x:v>EBIT ($mm)</x:v>
      </x:c>
      <x:c r="G1" s="30" t="str">
        <x:v>Net Income ($mm)</x:v>
      </x:c>
      <x:c r="H1" s="30" t="str">
        <x:v>Cash From Ops ($mm)</x:v>
      </x:c>
      <x:c r="I1" s="30" t="str">
        <x:v>Capex ($mm)</x:v>
      </x:c>
      <x:c r="J1" s="30" t="str">
        <x:v>Cash &amp; STI ($mm)</x:v>
      </x:c>
      <x:c r="K1" s="30" t="str">
        <x:v>Total Debt ($mm)</x:v>
      </x:c>
      <x:c r="L1" s="30" t="str">
        <x:v>Diluted Shares (mm)</x:v>
      </x:c>
    </x:row>
    <x:row r="2">
      <x:c r="A2" s="31" t="str">
        <x:v>AAPL</x:v>
      </x:c>
      <x:c r="B2" s="31" t="str">
        <x:v>Apple Inc.</x:v>
      </x:c>
      <x:c r="C2" s="31" t="n">
        <x:v>2020</x:v>
      </x:c>
      <x:c r="D2" s="32" t="n">
        <x:v>274515</x:v>
      </x:c>
      <x:c r="E2" s="32" t="n">
        <x:v>169559</x:v>
      </x:c>
      <x:c r="F2" s="32" t="n">
        <x:v>66288</x:v>
      </x:c>
      <x:c r="G2" s="32" t="n">
        <x:v>57411</x:v>
      </x:c>
      <x:c r="H2" s="32" t="n">
        <x:v>80674</x:v>
      </x:c>
      <x:c r="I2" s="32" t="n">
        <x:v>7309</x:v>
      </x:c>
      <x:c r="J2" s="32" t="n">
        <x:v>90943</x:v>
      </x:c>
      <x:c r="K2" s="32" t="n">
        <x:v>112436</x:v>
      </x:c>
      <x:c r="L2" s="33" t="n">
        <x:v>17102</x:v>
      </x:c>
    </x:row>
    <x:row r="3">
      <x:c r="A3" s="31" t="str">
        <x:v>AAPL</x:v>
      </x:c>
      <x:c r="B3" s="31" t="str">
        <x:v>Apple Inc.</x:v>
      </x:c>
      <x:c r="C3" s="31" t="n">
        <x:v>2021</x:v>
      </x:c>
      <x:c r="D3" s="32" t="n">
        <x:v>365817</x:v>
      </x:c>
      <x:c r="E3" s="32" t="n">
        <x:v>212981</x:v>
      </x:c>
      <x:c r="F3" s="32" t="n">
        <x:v>108949</x:v>
      </x:c>
      <x:c r="G3" s="32" t="n">
        <x:v>94680</x:v>
      </x:c>
      <x:c r="H3" s="32" t="n">
        <x:v>104038</x:v>
      </x:c>
      <x:c r="I3" s="32" t="n">
        <x:v>11085</x:v>
      </x:c>
      <x:c r="J3" s="32" t="n">
        <x:v>62639</x:v>
      </x:c>
      <x:c r="K3" s="32" t="n">
        <x:v>124719</x:v>
      </x:c>
      <x:c r="L3" s="33" t="n">
        <x:v>16427</x:v>
      </x:c>
    </x:row>
    <x:row r="4">
      <x:c r="A4" s="31" t="str">
        <x:v>AAPL</x:v>
      </x:c>
      <x:c r="B4" s="31" t="str">
        <x:v>Apple Inc.</x:v>
      </x:c>
      <x:c r="C4" s="31" t="n">
        <x:v>2022</x:v>
      </x:c>
      <x:c r="D4" s="32" t="n">
        <x:v>394328</x:v>
      </x:c>
      <x:c r="E4" s="32" t="n">
        <x:v>223546</x:v>
      </x:c>
      <x:c r="F4" s="32" t="n">
        <x:v>119437</x:v>
      </x:c>
      <x:c r="G4" s="32" t="n">
        <x:v>99803</x:v>
      </x:c>
      <x:c r="H4" s="32" t="n">
        <x:v>122151</x:v>
      </x:c>
      <x:c r="I4" s="32" t="n">
        <x:v>10708</x:v>
      </x:c>
      <x:c r="J4" s="32" t="n">
        <x:v>48304</x:v>
      </x:c>
      <x:c r="K4" s="32" t="n">
        <x:v>120069</x:v>
      </x:c>
      <x:c r="L4" s="33" t="n">
        <x:v>15943</x:v>
      </x:c>
    </x:row>
    <x:row r="5">
      <x:c r="A5" s="31" t="str">
        <x:v>AAPL</x:v>
      </x:c>
      <x:c r="B5" s="31" t="str">
        <x:v>Apple Inc.</x:v>
      </x:c>
      <x:c r="C5" s="31" t="n">
        <x:v>2023</x:v>
      </x:c>
      <x:c r="D5" s="32" t="n">
        <x:v>383285</x:v>
      </x:c>
      <x:c r="E5" s="32" t="n">
        <x:v>214137</x:v>
      </x:c>
      <x:c r="F5" s="32" t="n">
        <x:v>114301</x:v>
      </x:c>
      <x:c r="G5" s="32" t="n">
        <x:v>96995</x:v>
      </x:c>
      <x:c r="H5" s="32" t="n">
        <x:v>110543</x:v>
      </x:c>
      <x:c r="I5" s="32" t="n">
        <x:v>10959</x:v>
      </x:c>
      <x:c r="J5" s="32" t="n">
        <x:v>61555</x:v>
      </x:c>
      <x:c r="K5" s="32" t="n">
        <x:v>111088</x:v>
      </x:c>
      <x:c r="L5" s="33" t="n">
        <x:v>15813</x:v>
      </x:c>
    </x:row>
    <x:row r="6">
      <x:c r="A6" s="31" t="str">
        <x:v>AAPL</x:v>
      </x:c>
      <x:c r="B6" s="31" t="str">
        <x:v>Apple Inc.</x:v>
      </x:c>
      <x:c r="C6" s="31" t="n">
        <x:v>2024</x:v>
      </x:c>
      <x:c r="D6" s="32" t="n">
        <x:v>391035</x:v>
      </x:c>
      <x:c r="E6" s="32" t="n">
        <x:v>210352</x:v>
      </x:c>
      <x:c r="F6" s="32" t="n">
        <x:v>123216</x:v>
      </x:c>
      <x:c r="G6" s="32" t="n">
        <x:v>93736</x:v>
      </x:c>
      <x:c r="H6" s="32" t="n">
        <x:v>118254</x:v>
      </x:c>
      <x:c r="I6" s="32" t="n">
        <x:v>9447</x:v>
      </x:c>
      <x:c r="J6" s="32" t="n">
        <x:v>65171</x:v>
      </x:c>
      <x:c r="K6" s="32" t="n">
        <x:v>106629</x:v>
      </x:c>
      <x:c r="L6" s="33" t="n">
        <x:v>15343</x:v>
      </x:c>
    </x:row>
    <x:row r="7">
      <x:c r="A7" s="31" t="str">
        <x:v>MSFT</x:v>
      </x:c>
      <x:c r="B7" s="31" t="str">
        <x:v>Microsoft Corp.</x:v>
      </x:c>
      <x:c r="C7" s="31" t="n">
        <x:v>2020</x:v>
      </x:c>
      <x:c r="D7" s="32" t="n">
        <x:v>143015</x:v>
      </x:c>
      <x:c r="E7" s="32" t="n">
        <x:v>46078</x:v>
      </x:c>
      <x:c r="F7" s="32" t="n">
        <x:v>52959</x:v>
      </x:c>
      <x:c r="G7" s="32" t="n">
        <x:v>44281</x:v>
      </x:c>
      <x:c r="H7" s="32" t="n">
        <x:v>60675</x:v>
      </x:c>
      <x:c r="I7" s="32" t="n">
        <x:v>15441</x:v>
      </x:c>
      <x:c r="J7" s="32" t="n">
        <x:v>136527</x:v>
      </x:c>
      <x:c r="K7" s="32" t="n">
        <x:v>70998</x:v>
      </x:c>
      <x:c r="L7" s="33" t="n">
        <x:v>7610</x:v>
      </x:c>
    </x:row>
    <x:row r="8">
      <x:c r="A8" s="31" t="str">
        <x:v>MSFT</x:v>
      </x:c>
      <x:c r="B8" s="31" t="str">
        <x:v>Microsoft Corp.</x:v>
      </x:c>
      <x:c r="C8" s="31" t="n">
        <x:v>2021</x:v>
      </x:c>
      <x:c r="D8" s="32" t="n">
        <x:v>168088</x:v>
      </x:c>
      <x:c r="E8" s="32" t="n">
        <x:v>52232</x:v>
      </x:c>
      <x:c r="F8" s="32" t="n">
        <x:v>69916</x:v>
      </x:c>
      <x:c r="G8" s="32" t="n">
        <x:v>61271</x:v>
      </x:c>
      <x:c r="H8" s="32" t="n">
        <x:v>76740</x:v>
      </x:c>
      <x:c r="I8" s="32" t="n">
        <x:v>20622</x:v>
      </x:c>
      <x:c r="J8" s="32" t="n">
        <x:v>130334</x:v>
      </x:c>
      <x:c r="K8" s="32" t="n">
        <x:v>67775</x:v>
      </x:c>
      <x:c r="L8" s="33" t="n">
        <x:v>7547</x:v>
      </x:c>
    </x:row>
    <x:row r="9">
      <x:c r="A9" s="31" t="str">
        <x:v>MSFT</x:v>
      </x:c>
      <x:c r="B9" s="31" t="str">
        <x:v>Microsoft Corp.</x:v>
      </x:c>
      <x:c r="C9" s="31" t="n">
        <x:v>2022</x:v>
      </x:c>
      <x:c r="D9" s="32" t="n">
        <x:v>198270</x:v>
      </x:c>
      <x:c r="E9" s="32" t="n">
        <x:v>62650</x:v>
      </x:c>
      <x:c r="F9" s="32" t="n">
        <x:v>83383</x:v>
      </x:c>
      <x:c r="G9" s="32" t="n">
        <x:v>72738</x:v>
      </x:c>
      <x:c r="H9" s="32" t="n">
        <x:v>89035</x:v>
      </x:c>
      <x:c r="I9" s="32" t="n">
        <x:v>23886</x:v>
      </x:c>
      <x:c r="J9" s="32" t="n">
        <x:v>104749</x:v>
      </x:c>
      <x:c r="K9" s="32" t="n">
        <x:v>61270</x:v>
      </x:c>
      <x:c r="L9" s="33" t="n">
        <x:v>7496</x:v>
      </x:c>
    </x:row>
    <x:row r="10">
      <x:c r="A10" s="31" t="str">
        <x:v>MSFT</x:v>
      </x:c>
      <x:c r="B10" s="31" t="str">
        <x:v>Microsoft Corp.</x:v>
      </x:c>
      <x:c r="C10" s="31" t="n">
        <x:v>2023</x:v>
      </x:c>
      <x:c r="D10" s="32" t="n">
        <x:v>211915</x:v>
      </x:c>
      <x:c r="E10" s="32" t="n">
        <x:v>65863</x:v>
      </x:c>
      <x:c r="F10" s="32" t="n">
        <x:v>88523</x:v>
      </x:c>
      <x:c r="G10" s="32" t="n">
        <x:v>72361</x:v>
      </x:c>
      <x:c r="H10" s="32" t="n">
        <x:v>87582</x:v>
      </x:c>
      <x:c r="I10" s="32" t="n">
        <x:v>28107</x:v>
      </x:c>
      <x:c r="J10" s="32" t="n">
        <x:v>111262</x:v>
      </x:c>
      <x:c r="K10" s="32" t="n">
        <x:v>59965</x:v>
      </x:c>
      <x:c r="L10" s="33" t="n">
        <x:v>7472</x:v>
      </x:c>
    </x:row>
    <x:row r="11">
      <x:c r="A11" s="31" t="str">
        <x:v>MSFT</x:v>
      </x:c>
      <x:c r="B11" s="31" t="str">
        <x:v>Microsoft Corp.</x:v>
      </x:c>
      <x:c r="C11" s="31" t="n">
        <x:v>2024</x:v>
      </x:c>
      <x:c r="D11" s="32" t="n">
        <x:v>245122</x:v>
      </x:c>
      <x:c r="E11" s="32" t="n">
        <x:v>74114</x:v>
      </x:c>
      <x:c r="F11" s="32" t="n">
        <x:v>109433</x:v>
      </x:c>
      <x:c r="G11" s="32" t="n">
        <x:v>88136</x:v>
      </x:c>
      <x:c r="H11" s="32" t="n">
        <x:v>118548</x:v>
      </x:c>
      <x:c r="I11" s="32" t="n">
        <x:v>44477</x:v>
      </x:c>
      <x:c r="J11" s="32" t="n">
        <x:v>75531</x:v>
      </x:c>
      <x:c r="K11" s="32" t="n">
        <x:v>67127</x:v>
      </x:c>
      <x:c r="L11" s="33" t="n">
        <x:v>7431</x:v>
      </x:c>
    </x:row>
    <x:row r="12">
      <x:c r="A12" s="31" t="str">
        <x:v>GOOGL</x:v>
      </x:c>
      <x:c r="B12" s="31" t="str">
        <x:v>Alphabet Inc.</x:v>
      </x:c>
      <x:c r="C12" s="31" t="n">
        <x:v>2020</x:v>
      </x:c>
      <x:c r="D12" s="32" t="n">
        <x:v>182527</x:v>
      </x:c>
      <x:c r="E12" s="32" t="n">
        <x:v>84732</x:v>
      </x:c>
      <x:c r="F12" s="32" t="n">
        <x:v>41224</x:v>
      </x:c>
      <x:c r="G12" s="32" t="n">
        <x:v>40269</x:v>
      </x:c>
      <x:c r="H12" s="32" t="n">
        <x:v>65124</x:v>
      </x:c>
      <x:c r="I12" s="32" t="n">
        <x:v>22281</x:v>
      </x:c>
      <x:c r="J12" s="32" t="n">
        <x:v>136694</x:v>
      </x:c>
      <x:c r="K12" s="32" t="n">
        <x:v>26772</x:v>
      </x:c>
      <x:c r="L12" s="33" t="n">
        <x:v>6754</x:v>
      </x:c>
    </x:row>
    <x:row r="13">
      <x:c r="A13" s="31" t="str">
        <x:v>GOOGL</x:v>
      </x:c>
      <x:c r="B13" s="31" t="str">
        <x:v>Alphabet Inc.</x:v>
      </x:c>
      <x:c r="C13" s="31" t="n">
        <x:v>2021</x:v>
      </x:c>
      <x:c r="D13" s="32" t="n">
        <x:v>257637</x:v>
      </x:c>
      <x:c r="E13" s="32" t="n">
        <x:v>110939</x:v>
      </x:c>
      <x:c r="F13" s="32" t="n">
        <x:v>78714</x:v>
      </x:c>
      <x:c r="G13" s="32" t="n">
        <x:v>76033</x:v>
      </x:c>
      <x:c r="H13" s="32" t="n">
        <x:v>91652</x:v>
      </x:c>
      <x:c r="I13" s="32" t="n">
        <x:v>24640</x:v>
      </x:c>
      <x:c r="J13" s="32" t="n">
        <x:v>139649</x:v>
      </x:c>
      <x:c r="K13" s="32" t="n">
        <x:v>28459</x:v>
      </x:c>
      <x:c r="L13" s="33" t="n">
        <x:v>6628</x:v>
      </x:c>
    </x:row>
    <x:row r="14">
      <x:c r="A14" s="31" t="str">
        <x:v>GOOGL</x:v>
      </x:c>
      <x:c r="B14" s="31" t="str">
        <x:v>Alphabet Inc.</x:v>
      </x:c>
      <x:c r="C14" s="31" t="n">
        <x:v>2022</x:v>
      </x:c>
      <x:c r="D14" s="32" t="n">
        <x:v>282836</x:v>
      </x:c>
      <x:c r="E14" s="32" t="n">
        <x:v>126203</x:v>
      </x:c>
      <x:c r="F14" s="32" t="n">
        <x:v>74842</x:v>
      </x:c>
      <x:c r="G14" s="32" t="n">
        <x:v>59972</x:v>
      </x:c>
      <x:c r="H14" s="32" t="n">
        <x:v>91495</x:v>
      </x:c>
      <x:c r="I14" s="32" t="n">
        <x:v>31485</x:v>
      </x:c>
      <x:c r="J14" s="32" t="n">
        <x:v>113762</x:v>
      </x:c>
      <x:c r="K14" s="32" t="n">
        <x:v>29679</x:v>
      </x:c>
      <x:c r="L14" s="33" t="n">
        <x:v>13159</x:v>
      </x:c>
    </x:row>
    <x:row r="15">
      <x:c r="A15" s="31" t="str">
        <x:v>GOOGL</x:v>
      </x:c>
      <x:c r="B15" s="31" t="str">
        <x:v>Alphabet Inc.</x:v>
      </x:c>
      <x:c r="C15" s="31" t="n">
        <x:v>2023</x:v>
      </x:c>
      <x:c r="D15" s="32" t="n">
        <x:v>307394</x:v>
      </x:c>
      <x:c r="E15" s="32" t="n">
        <x:v>133332</x:v>
      </x:c>
      <x:c r="F15" s="32" t="n">
        <x:v>84293</x:v>
      </x:c>
      <x:c r="G15" s="32" t="n">
        <x:v>73795</x:v>
      </x:c>
      <x:c r="H15" s="32" t="n">
        <x:v>101746</x:v>
      </x:c>
      <x:c r="I15" s="32" t="n">
        <x:v>32251</x:v>
      </x:c>
      <x:c r="J15" s="32" t="n">
        <x:v>110916</x:v>
      </x:c>
      <x:c r="K15" s="32" t="n">
        <x:v>28679</x:v>
      </x:c>
      <x:c r="L15" s="33" t="n">
        <x:v>12905</x:v>
      </x:c>
    </x:row>
    <x:row r="16">
      <x:c r="A16" s="31" t="str">
        <x:v>GOOGL</x:v>
      </x:c>
      <x:c r="B16" s="31" t="str">
        <x:v>Alphabet Inc.</x:v>
      </x:c>
      <x:c r="C16" s="31" t="n">
        <x:v>2024</x:v>
      </x:c>
      <x:c r="D16" s="32" t="n">
        <x:v>350018</x:v>
      </x:c>
      <x:c r="E16" s="32" t="n">
        <x:v>148184</x:v>
      </x:c>
      <x:c r="F16" s="32" t="n">
        <x:v>112390</x:v>
      </x:c>
      <x:c r="G16" s="32" t="n">
        <x:v>100118</x:v>
      </x:c>
      <x:c r="H16" s="32" t="n">
        <x:v>125728</x:v>
      </x:c>
      <x:c r="I16" s="32" t="n">
        <x:v>52535</x:v>
      </x:c>
      <x:c r="J16" s="32" t="n">
        <x:v>95739</x:v>
      </x:c>
      <x:c r="K16" s="32" t="n">
        <x:v>28528</x:v>
      </x:c>
      <x:c r="L16" s="33" t="n">
        <x:v>12559</x:v>
      </x:c>
    </x:row>
  </x:sheetData>
  <x:pageMargins left="0.7" right="0.7" top="0.75" bottom="0.75" header="0.3" footer="0.3"/>
  <x:tableParts count="1">
    <x:tablePart xmlns:r="http://schemas.openxmlformats.org/officeDocument/2006/relationships" r:id="R35d2b933d86c418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.670000076293945" hidden="0" customWidth="1"/>
    <x:col min="2" max="2" width="16.149999618530273" hidden="0" customWidth="1"/>
    <x:col min="3" max="3" width="16.149999618530273" hidden="0" customWidth="1"/>
    <x:col min="4" max="4" width="34.86000061035156" hidden="0" customWidth="1"/>
    <x:col min="5" max="5" width="16.149999618530273" hidden="0" customWidth="1"/>
    <x:col min="6" max="6" width="16.149999618530273" hidden="0" customWidth="1"/>
    <x:col min="7" max="7" width="13.729999542236328" hidden="0" customWidth="1"/>
    <x:col min="8" max="8" width="4.849999904632568" hidden="0" customWidth="1"/>
    <x:col min="9" max="9" width="6.730000019073486" hidden="0" customWidth="1"/>
    <x:col min="10" max="10" width="9.829999923706055" hidden="0" customWidth="1"/>
    <x:col min="11" max="11" width="14.270000457763672" hidden="0" customWidth="1"/>
    <x:col min="12" max="12" width="13.460000038146973" hidden="0" customWidth="1"/>
  </x:cols>
  <x:sheetData>
    <x:row r="1">
      <x:c r="A1" s="39" t="str">
        <x:v>Selected Company</x:v>
      </x:c>
      <x:c r="B1" s="39" t="str">
        <x:v>AAPL</x:v>
      </x:c>
      <x:c r="C1" s="39" t="str"/>
      <x:c r="D1" s="39" t="str">
        <x:v>Change this ticker to AAPL, MSFT or GOOGL</x:v>
      </x:c>
    </x:row>
    <x:row r="2">
      <x:c r="A2" s="39" t="str">
        <x:v>Selected Scenario</x:v>
      </x:c>
      <x:c r="B2" s="39" t="str">
        <x:v>Base</x:v>
      </x:c>
      <x:c r="C2" s="39" t="str"/>
      <x:c r="D2" s="39" t="str">
        <x:v>Change this to Bear, Base or Bull</x:v>
      </x:c>
    </x:row>
    <x:row r="3">
      <x:c r="A3" s="39" t="str">
        <x:v>Exit Multiple</x:v>
      </x:c>
      <x:c r="B3" s="39" t="n">
        <x:v>18</x:v>
      </x:c>
      <x:c r="C3" s="39" t="str">
        <x:v>x</x:v>
      </x:c>
      <x:c r="D3" s="39" t="str">
        <x:v>Optional cross-check multiple</x:v>
      </x:c>
    </x:row>
    <x:row r="4">
      <x:c r="A4" t="str"/>
      <x:c r="B4" t="str"/>
      <x:c r="C4" t="str"/>
      <x:c r="D4" t="str"/>
    </x:row>
    <x:row r="5">
      <x:c r="A5" s="19" t="str">
        <x:v>Scenario</x:v>
      </x:c>
      <x:c r="B5" s="19" t="str">
        <x:v>Revenue Growth Y1</x:v>
      </x:c>
      <x:c r="C5" s="19" t="str">
        <x:v>Revenue Growth Y2</x:v>
      </x:c>
      <x:c r="D5" s="19" t="str">
        <x:v>Revenue Growth Y3</x:v>
      </x:c>
      <x:c r="E5" s="19" t="str">
        <x:v>Revenue Growth Y4</x:v>
      </x:c>
      <x:c r="F5" s="19" t="str">
        <x:v>Revenue Growth Y5</x:v>
      </x:c>
      <x:c r="G5" s="19" t="str">
        <x:v>Terminal Growth</x:v>
      </x:c>
      <x:c r="H5" s="19" t="str">
        <x:v>WACC</x:v>
      </x:c>
      <x:c r="I5" s="19" t="str">
        <x:v>Tax Rate</x:v>
      </x:c>
      <x:c r="J5" s="19" t="str">
        <x:v>EBIT Margin</x:v>
      </x:c>
      <x:c r="K5" s="19" t="str">
        <x:v>Capex % Revenue</x:v>
      </x:c>
      <x:c r="L5" s="19" t="str">
        <x:v>NWC % Revenue</x:v>
      </x:c>
    </x:row>
    <x:row r="6">
      <x:c r="A6" t="str">
        <x:v>Bear</x:v>
      </x:c>
      <x:c r="B6" s="42" t="n">
        <x:v>0.03</x:v>
      </x:c>
      <x:c r="C6" s="42" t="n">
        <x:v>0.03</x:v>
      </x:c>
      <x:c r="D6" s="42" t="n">
        <x:v>0.025</x:v>
      </x:c>
      <x:c r="E6" s="42" t="n">
        <x:v>0.025</x:v>
      </x:c>
      <x:c r="F6" s="42" t="n">
        <x:v>0.02</x:v>
      </x:c>
      <x:c r="G6" s="42" t="n">
        <x:v>0.02</x:v>
      </x:c>
      <x:c r="H6" s="42" t="n">
        <x:v>0.095</x:v>
      </x:c>
      <x:c r="I6" s="42" t="n">
        <x:v>0.17</x:v>
      </x:c>
      <x:c r="J6" s="42" t="n">
        <x:v>0.255</x:v>
      </x:c>
      <x:c r="K6" s="42" t="n">
        <x:v>0.09</x:v>
      </x:c>
      <x:c r="L6" s="42" t="n">
        <x:v>0.02</x:v>
      </x:c>
    </x:row>
    <x:row r="7">
      <x:c r="A7" t="str">
        <x:v>Base</x:v>
      </x:c>
      <x:c r="B7" s="42" t="n">
        <x:v>0.07</x:v>
      </x:c>
      <x:c r="C7" s="42" t="n">
        <x:v>0.065</x:v>
      </x:c>
      <x:c r="D7" s="42" t="n">
        <x:v>0.06</x:v>
      </x:c>
      <x:c r="E7" s="42" t="n">
        <x:v>0.055</x:v>
      </x:c>
      <x:c r="F7" s="42" t="n">
        <x:v>0.05</x:v>
      </x:c>
      <x:c r="G7" s="42" t="n">
        <x:v>0.025</x:v>
      </x:c>
      <x:c r="H7" s="42" t="n">
        <x:v>0.085</x:v>
      </x:c>
      <x:c r="I7" s="42" t="n">
        <x:v>0.16</x:v>
      </x:c>
      <x:c r="J7" s="42" t="n">
        <x:v>0.3</x:v>
      </x:c>
      <x:c r="K7" s="42" t="n">
        <x:v>0.08</x:v>
      </x:c>
      <x:c r="L7" s="42" t="n">
        <x:v>0.015</x:v>
      </x:c>
    </x:row>
    <x:row r="8">
      <x:c r="A8" t="str">
        <x:v>Bull</x:v>
      </x:c>
      <x:c r="B8" s="42" t="n">
        <x:v>0.11</x:v>
      </x:c>
      <x:c r="C8" s="42" t="n">
        <x:v>0.1</x:v>
      </x:c>
      <x:c r="D8" s="42" t="n">
        <x:v>0.09</x:v>
      </x:c>
      <x:c r="E8" s="42" t="n">
        <x:v>0.08</x:v>
      </x:c>
      <x:c r="F8" s="42" t="n">
        <x:v>0.07</x:v>
      </x:c>
      <x:c r="G8" s="42" t="n">
        <x:v>0.03</x:v>
      </x:c>
      <x:c r="H8" s="42" t="n">
        <x:v>0.075</x:v>
      </x:c>
      <x:c r="I8" s="42" t="n">
        <x:v>0.15</x:v>
      </x:c>
      <x:c r="J8" s="42" t="n">
        <x:v>0.34</x:v>
      </x:c>
      <x:c r="K8" s="42" t="n">
        <x:v>0.075</x:v>
      </x:c>
      <x:c r="L8" s="42" t="n">
        <x:v>0.01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.920000076293945" hidden="0" customWidth="1"/>
    <x:col min="2" max="2" width="12.380000114440918" hidden="0" customWidth="1"/>
    <x:col min="3" max="3" width="8.34000015258789" hidden="0" customWidth="1"/>
    <x:col min="4" max="4" width="12.920000076293945" hidden="0" customWidth="1"/>
    <x:col min="5" max="5" width="15.34000015258789" hidden="0" customWidth="1"/>
    <x:col min="6" max="6" width="10.770000457763672" hidden="0" customWidth="1"/>
    <x:col min="7" max="7" width="9.829999923706055" hidden="0" customWidth="1"/>
    <x:col min="8" max="8" width="9.149999618530273" hidden="0" customWidth="1"/>
    <x:col min="9" max="9" width="18.030000686645508" hidden="0" customWidth="1"/>
    <x:col min="10" max="10" width="9.020000457763672" hidden="0" customWidth="1"/>
    <x:col min="11" max="11" width="9.5600004196167" hidden="0" customWidth="1"/>
  </x:cols>
  <x:sheetData>
    <x:row r="1">
      <x:c r="A1" s="19" t="str">
        <x:v>Ticker</x:v>
      </x:c>
      <x:c r="B1" s="19" t="str">
        <x:v>Company</x:v>
      </x:c>
      <x:c r="C1" s="19" t="str">
        <x:v>Fiscal Year</x:v>
      </x:c>
      <x:c r="D1" s="19" t="str">
        <x:v>Revenue ($mm)</x:v>
      </x:c>
      <x:c r="E1" s="19" t="str">
        <x:v>Gross Profit ($mm)</x:v>
      </x:c>
      <x:c r="F1" s="19" t="str">
        <x:v>Gross Margin</x:v>
      </x:c>
      <x:c r="G1" s="19" t="str">
        <x:v>EBIT Margin</x:v>
      </x:c>
      <x:c r="H1" s="19" t="str">
        <x:v>Net Margin</x:v>
      </x:c>
      <x:c r="I1" s="19" t="str">
        <x:v>Free Cash Flow ($mm)</x:v>
      </x:c>
      <x:c r="J1" s="19" t="str">
        <x:v>FCF Margin</x:v>
      </x:c>
      <x:c r="K1" s="19" t="str">
        <x:v>Debt / Cash</x:v>
      </x:c>
    </x:row>
    <x:row r="2">
      <x:c r="A2" s="44" t="str">
        <x:f>'Raw Financials'!A2</x:f>
        <x:v>AAPL</x:v>
      </x:c>
      <x:c r="B2" s="44" t="str">
        <x:f>'Raw Financials'!B2</x:f>
        <x:v>Apple Inc.</x:v>
      </x:c>
      <x:c r="C2" s="44" t="n">
        <x:f>'Raw Financials'!C2</x:f>
        <x:v>2020</x:v>
      </x:c>
      <x:c r="D2" s="46" t="n">
        <x:f>'Raw Financials'!D2</x:f>
        <x:v>274515</x:v>
      </x:c>
      <x:c r="E2" s="46" t="n">
        <x:f>'Raw Financials'!D2-'Raw Financials'!E2</x:f>
        <x:v>104956</x:v>
      </x:c>
      <x:c r="F2" s="48" t="n">
        <x:f>E2/D2</x:f>
        <x:v>0.38233247727810865</x:v>
      </x:c>
      <x:c r="G2" s="48" t="n">
        <x:f>'Raw Financials'!F2/D2</x:f>
        <x:v>0.24147314354406862</x:v>
      </x:c>
      <x:c r="H2" s="48" t="n">
        <x:f>'Raw Financials'!G2/D2</x:f>
        <x:v>0.20913611278072236</x:v>
      </x:c>
      <x:c r="I2" s="46" t="n">
        <x:f>'Raw Financials'!H2-'Raw Financials'!I2</x:f>
        <x:v>73365</x:v>
      </x:c>
      <x:c r="J2" s="48" t="n">
        <x:f>I2/D2</x:f>
        <x:v>0.2672531555652697</x:v>
      </x:c>
      <x:c r="K2" s="50" t="n">
        <x:f>'Raw Financials'!K2/'Raw Financials'!J2</x:f>
        <x:v>1.236334847102031</x:v>
      </x:c>
    </x:row>
    <x:row r="3">
      <x:c r="A3" s="44" t="str">
        <x:f>'Raw Financials'!A3</x:f>
        <x:v>AAPL</x:v>
      </x:c>
      <x:c r="B3" s="44" t="str">
        <x:f>'Raw Financials'!B3</x:f>
        <x:v>Apple Inc.</x:v>
      </x:c>
      <x:c r="C3" s="44" t="n">
        <x:f>'Raw Financials'!C3</x:f>
        <x:v>2021</x:v>
      </x:c>
      <x:c r="D3" s="46" t="n">
        <x:f>'Raw Financials'!D3</x:f>
        <x:v>365817</x:v>
      </x:c>
      <x:c r="E3" s="46" t="n">
        <x:f>'Raw Financials'!D3-'Raw Financials'!E3</x:f>
        <x:v>152836</x:v>
      </x:c>
      <x:c r="F3" s="48" t="n">
        <x:f>E3/D3</x:f>
        <x:v>0.4177935962516778</x:v>
      </x:c>
      <x:c r="G3" s="48" t="n">
        <x:f>'Raw Financials'!F3/D3</x:f>
        <x:v>0.29782377527561593</x:v>
      </x:c>
      <x:c r="H3" s="48" t="n">
        <x:f>'Raw Financials'!G3/D3</x:f>
        <x:v>0.2588179335569424</x:v>
      </x:c>
      <x:c r="I3" s="46" t="n">
        <x:f>'Raw Financials'!H3-'Raw Financials'!I3</x:f>
        <x:v>92953</x:v>
      </x:c>
      <x:c r="J3" s="48" t="n">
        <x:f>I3/D3</x:f>
        <x:v>0.2540969938521173</x:v>
      </x:c>
      <x:c r="K3" s="50" t="n">
        <x:f>'Raw Financials'!K3/'Raw Financials'!J3</x:f>
        <x:v>1.99107584731557</x:v>
      </x:c>
    </x:row>
    <x:row r="4">
      <x:c r="A4" s="44" t="str">
        <x:f>'Raw Financials'!A4</x:f>
        <x:v>AAPL</x:v>
      </x:c>
      <x:c r="B4" s="44" t="str">
        <x:f>'Raw Financials'!B4</x:f>
        <x:v>Apple Inc.</x:v>
      </x:c>
      <x:c r="C4" s="44" t="n">
        <x:f>'Raw Financials'!C4</x:f>
        <x:v>2022</x:v>
      </x:c>
      <x:c r="D4" s="46" t="n">
        <x:f>'Raw Financials'!D4</x:f>
        <x:v>394328</x:v>
      </x:c>
      <x:c r="E4" s="46" t="n">
        <x:f>'Raw Financials'!D4-'Raw Financials'!E4</x:f>
        <x:v>170782</x:v>
      </x:c>
      <x:c r="F4" s="48" t="n">
        <x:f>E4/D4</x:f>
        <x:v>0.43309630561360085</x:v>
      </x:c>
      <x:c r="G4" s="48" t="n">
        <x:f>'Raw Financials'!F4/D4</x:f>
        <x:v>0.30288744395528594</x:v>
      </x:c>
      <x:c r="H4" s="48" t="n">
        <x:f>'Raw Financials'!G4/D4</x:f>
        <x:v>0.2530964070519973</x:v>
      </x:c>
      <x:c r="I4" s="46" t="n">
        <x:f>'Raw Financials'!H4-'Raw Financials'!I4</x:f>
        <x:v>111443</x:v>
      </x:c>
      <x:c r="J4" s="48" t="n">
        <x:f>I4/D4</x:f>
        <x:v>0.2826149804223895</x:v>
      </x:c>
      <x:c r="K4" s="50" t="n">
        <x:f>'Raw Financials'!K4/'Raw Financials'!J4</x:f>
        <x:v>2.4856947664789666</x:v>
      </x:c>
    </x:row>
    <x:row r="5">
      <x:c r="A5" s="44" t="str">
        <x:f>'Raw Financials'!A5</x:f>
        <x:v>AAPL</x:v>
      </x:c>
      <x:c r="B5" s="44" t="str">
        <x:f>'Raw Financials'!B5</x:f>
        <x:v>Apple Inc.</x:v>
      </x:c>
      <x:c r="C5" s="44" t="n">
        <x:f>'Raw Financials'!C5</x:f>
        <x:v>2023</x:v>
      </x:c>
      <x:c r="D5" s="46" t="n">
        <x:f>'Raw Financials'!D5</x:f>
        <x:v>383285</x:v>
      </x:c>
      <x:c r="E5" s="46" t="n">
        <x:f>'Raw Financials'!D5-'Raw Financials'!E5</x:f>
        <x:v>169148</x:v>
      </x:c>
      <x:c r="F5" s="48" t="n">
        <x:f>E5/D5</x:f>
        <x:v>0.4413112957720756</x:v>
      </x:c>
      <x:c r="G5" s="48" t="n">
        <x:f>'Raw Financials'!F5/D5</x:f>
        <x:v>0.2982141226502472</x:v>
      </x:c>
      <x:c r="H5" s="48" t="n">
        <x:f>'Raw Financials'!G5/D5</x:f>
        <x:v>0.2530623426432028</x:v>
      </x:c>
      <x:c r="I5" s="46" t="n">
        <x:f>'Raw Financials'!H5-'Raw Financials'!I5</x:f>
        <x:v>99584</x:v>
      </x:c>
      <x:c r="J5" s="48" t="n">
        <x:f>I5/D5</x:f>
        <x:v>0.25981710737440805</x:v>
      </x:c>
      <x:c r="K5" s="50" t="n">
        <x:f>'Raw Financials'!K5/'Raw Financials'!J5</x:f>
        <x:v>1.8046949882219154</x:v>
      </x:c>
    </x:row>
    <x:row r="6">
      <x:c r="A6" s="44" t="str">
        <x:f>'Raw Financials'!A6</x:f>
        <x:v>AAPL</x:v>
      </x:c>
      <x:c r="B6" s="44" t="str">
        <x:f>'Raw Financials'!B6</x:f>
        <x:v>Apple Inc.</x:v>
      </x:c>
      <x:c r="C6" s="44" t="n">
        <x:f>'Raw Financials'!C6</x:f>
        <x:v>2024</x:v>
      </x:c>
      <x:c r="D6" s="46" t="n">
        <x:f>'Raw Financials'!D6</x:f>
        <x:v>391035</x:v>
      </x:c>
      <x:c r="E6" s="46" t="n">
        <x:f>'Raw Financials'!D6-'Raw Financials'!E6</x:f>
        <x:v>180683</x:v>
      </x:c>
      <x:c r="F6" s="48" t="n">
        <x:f>E6/D6</x:f>
        <x:v>0.4620634981523393</x:v>
      </x:c>
      <x:c r="G6" s="48" t="n">
        <x:f>'Raw Financials'!F6/D6</x:f>
        <x:v>0.31510222870075566</x:v>
      </x:c>
      <x:c r="H6" s="48" t="n">
        <x:f>'Raw Financials'!G6/D6</x:f>
        <x:v>0.23971255769943867</x:v>
      </x:c>
      <x:c r="I6" s="46" t="n">
        <x:f>'Raw Financials'!H6-'Raw Financials'!I6</x:f>
        <x:v>108807</x:v>
      </x:c>
      <x:c r="J6" s="48" t="n">
        <x:f>I6/D6</x:f>
        <x:v>0.27825386474356517</x:v>
      </x:c>
      <x:c r="K6" s="50" t="n">
        <x:f>'Raw Financials'!K6/'Raw Financials'!J6</x:f>
        <x:v>1.63614184223044</x:v>
      </x:c>
    </x:row>
    <x:row r="7">
      <x:c r="A7" s="44" t="str">
        <x:f>'Raw Financials'!A7</x:f>
        <x:v>MSFT</x:v>
      </x:c>
      <x:c r="B7" s="44" t="str">
        <x:f>'Raw Financials'!B7</x:f>
        <x:v>Microsoft Corp.</x:v>
      </x:c>
      <x:c r="C7" s="44" t="n">
        <x:f>'Raw Financials'!C7</x:f>
        <x:v>2020</x:v>
      </x:c>
      <x:c r="D7" s="46" t="n">
        <x:f>'Raw Financials'!D7</x:f>
        <x:v>143015</x:v>
      </x:c>
      <x:c r="E7" s="46" t="n">
        <x:f>'Raw Financials'!D7-'Raw Financials'!E7</x:f>
        <x:v>96937</x:v>
      </x:c>
      <x:c r="F7" s="48" t="n">
        <x:f>E7/D7</x:f>
        <x:v>0.6778100199279796</x:v>
      </x:c>
      <x:c r="G7" s="48" t="n">
        <x:f>'Raw Financials'!F7/D7</x:f>
        <x:v>0.37030381428521486</x:v>
      </x:c>
      <x:c r="H7" s="48" t="n">
        <x:f>'Raw Financials'!G7/D7</x:f>
        <x:v>0.3096248645247002</x:v>
      </x:c>
      <x:c r="I7" s="46" t="n">
        <x:f>'Raw Financials'!H7-'Raw Financials'!I7</x:f>
        <x:v>45234</x:v>
      </x:c>
      <x:c r="J7" s="48" t="n">
        <x:f>I7/D7</x:f>
        <x:v>0.3162885012061672</x:v>
      </x:c>
      <x:c r="K7" s="50" t="n">
        <x:f>'Raw Financials'!K7/'Raw Financials'!J7</x:f>
        <x:v>0.5200290052517085</x:v>
      </x:c>
    </x:row>
    <x:row r="8">
      <x:c r="A8" s="44" t="str">
        <x:f>'Raw Financials'!A8</x:f>
        <x:v>MSFT</x:v>
      </x:c>
      <x:c r="B8" s="44" t="str">
        <x:f>'Raw Financials'!B8</x:f>
        <x:v>Microsoft Corp.</x:v>
      </x:c>
      <x:c r="C8" s="44" t="n">
        <x:f>'Raw Financials'!C8</x:f>
        <x:v>2021</x:v>
      </x:c>
      <x:c r="D8" s="46" t="n">
        <x:f>'Raw Financials'!D8</x:f>
        <x:v>168088</x:v>
      </x:c>
      <x:c r="E8" s="46" t="n">
        <x:f>'Raw Financials'!D8-'Raw Financials'!E8</x:f>
        <x:v>115856</x:v>
      </x:c>
      <x:c r="F8" s="48" t="n">
        <x:f>E8/D8</x:f>
        <x:v>0.689258007710247</x:v>
      </x:c>
      <x:c r="G8" s="48" t="n">
        <x:f>'Raw Financials'!F8/D8</x:f>
        <x:v>0.415948788729713</x:v>
      </x:c>
      <x:c r="H8" s="48" t="n">
        <x:f>'Raw Financials'!G8/D8</x:f>
        <x:v>0.36451739564989766</x:v>
      </x:c>
      <x:c r="I8" s="46" t="n">
        <x:f>'Raw Financials'!H8-'Raw Financials'!I8</x:f>
        <x:v>56118</x:v>
      </x:c>
      <x:c r="J8" s="48" t="n">
        <x:f>I8/D8</x:f>
        <x:v>0.33386083480081863</x:v>
      </x:c>
      <x:c r="K8" s="50" t="n">
        <x:f>'Raw Financials'!K8/'Raw Financials'!J8</x:f>
        <x:v>0.5200101278254331</x:v>
      </x:c>
    </x:row>
    <x:row r="9">
      <x:c r="A9" s="44" t="str">
        <x:f>'Raw Financials'!A9</x:f>
        <x:v>MSFT</x:v>
      </x:c>
      <x:c r="B9" s="44" t="str">
        <x:f>'Raw Financials'!B9</x:f>
        <x:v>Microsoft Corp.</x:v>
      </x:c>
      <x:c r="C9" s="44" t="n">
        <x:f>'Raw Financials'!C9</x:f>
        <x:v>2022</x:v>
      </x:c>
      <x:c r="D9" s="46" t="n">
        <x:f>'Raw Financials'!D9</x:f>
        <x:v>198270</x:v>
      </x:c>
      <x:c r="E9" s="46" t="n">
        <x:f>'Raw Financials'!D9-'Raw Financials'!E9</x:f>
        <x:v>135620</x:v>
      </x:c>
      <x:c r="F9" s="48" t="n">
        <x:f>E9/D9</x:f>
        <x:v>0.684016744842891</x:v>
      </x:c>
      <x:c r="G9" s="48" t="n">
        <x:f>'Raw Financials'!F9/D9</x:f>
        <x:v>0.4205527815604983</x:v>
      </x:c>
      <x:c r="H9" s="48" t="n">
        <x:f>'Raw Financials'!G9/D9</x:f>
        <x:v>0.3668633681343622</x:v>
      </x:c>
      <x:c r="I9" s="46" t="n">
        <x:f>'Raw Financials'!H9-'Raw Financials'!I9</x:f>
        <x:v>65149</x:v>
      </x:c>
      <x:c r="J9" s="48" t="n">
        <x:f>I9/D9</x:f>
        <x:v>0.3285872799717557</x:v>
      </x:c>
      <x:c r="K9" s="50" t="n">
        <x:f>'Raw Financials'!K9/'Raw Financials'!J9</x:f>
        <x:v>0.5849220517618307</x:v>
      </x:c>
    </x:row>
    <x:row r="10">
      <x:c r="A10" s="44" t="str">
        <x:f>'Raw Financials'!A10</x:f>
        <x:v>MSFT</x:v>
      </x:c>
      <x:c r="B10" s="44" t="str">
        <x:f>'Raw Financials'!B10</x:f>
        <x:v>Microsoft Corp.</x:v>
      </x:c>
      <x:c r="C10" s="44" t="n">
        <x:f>'Raw Financials'!C10</x:f>
        <x:v>2023</x:v>
      </x:c>
      <x:c r="D10" s="46" t="n">
        <x:f>'Raw Financials'!D10</x:f>
        <x:v>211915</x:v>
      </x:c>
      <x:c r="E10" s="46" t="n">
        <x:f>'Raw Financials'!D10-'Raw Financials'!E10</x:f>
        <x:v>146052</x:v>
      </x:c>
      <x:c r="F10" s="48" t="n">
        <x:f>E10/D10</x:f>
        <x:v>0.6892008588349102</x:v>
      </x:c>
      <x:c r="G10" s="48" t="n">
        <x:f>'Raw Financials'!F10/D10</x:f>
        <x:v>0.417728806361041</x:v>
      </x:c>
      <x:c r="H10" s="48" t="n">
        <x:f>'Raw Financials'!G10/D10</x:f>
        <x:v>0.3414623787839464</x:v>
      </x:c>
      <x:c r="I10" s="46" t="n">
        <x:f>'Raw Financials'!H10-'Raw Financials'!I10</x:f>
        <x:v>59475</x:v>
      </x:c>
      <x:c r="J10" s="48" t="n">
        <x:f>I10/D10</x:f>
        <x:v>0.2806549795908737</x:v>
      </x:c>
      <x:c r="K10" s="50" t="n">
        <x:f>'Raw Financials'!K10/'Raw Financials'!J10</x:f>
        <x:v>0.5389531016879078</x:v>
      </x:c>
    </x:row>
    <x:row r="11">
      <x:c r="A11" s="44" t="str">
        <x:f>'Raw Financials'!A11</x:f>
        <x:v>MSFT</x:v>
      </x:c>
      <x:c r="B11" s="44" t="str">
        <x:f>'Raw Financials'!B11</x:f>
        <x:v>Microsoft Corp.</x:v>
      </x:c>
      <x:c r="C11" s="44" t="n">
        <x:f>'Raw Financials'!C11</x:f>
        <x:v>2024</x:v>
      </x:c>
      <x:c r="D11" s="46" t="n">
        <x:f>'Raw Financials'!D11</x:f>
        <x:v>245122</x:v>
      </x:c>
      <x:c r="E11" s="46" t="n">
        <x:f>'Raw Financials'!D11-'Raw Financials'!E11</x:f>
        <x:v>171008</x:v>
      </x:c>
      <x:c r="F11" s="48" t="n">
        <x:f>E11/D11</x:f>
        <x:v>0.6976444382797138</x:v>
      </x:c>
      <x:c r="G11" s="48" t="n">
        <x:f>'Raw Financials'!F11/D11</x:f>
        <x:v>0.44644299573273716</x:v>
      </x:c>
      <x:c r="H11" s="48" t="n">
        <x:f>'Raw Financials'!G11/D11</x:f>
        <x:v>0.35955972944084985</x:v>
      </x:c>
      <x:c r="I11" s="46" t="n">
        <x:f>'Raw Financials'!H11-'Raw Financials'!I11</x:f>
        <x:v>74071</x:v>
      </x:c>
      <x:c r="J11" s="48" t="n">
        <x:f>I11/D11</x:f>
        <x:v>0.3021801388696241</x:v>
      </x:c>
      <x:c r="K11" s="50" t="n">
        <x:f>'Raw Financials'!K11/'Raw Financials'!J11</x:f>
        <x:v>0.8887344269240445</x:v>
      </x:c>
    </x:row>
    <x:row r="12">
      <x:c r="A12" s="44" t="str">
        <x:f>'Raw Financials'!A12</x:f>
        <x:v>GOOGL</x:v>
      </x:c>
      <x:c r="B12" s="44" t="str">
        <x:f>'Raw Financials'!B12</x:f>
        <x:v>Alphabet Inc.</x:v>
      </x:c>
      <x:c r="C12" s="44" t="n">
        <x:f>'Raw Financials'!C12</x:f>
        <x:v>2020</x:v>
      </x:c>
      <x:c r="D12" s="46" t="n">
        <x:f>'Raw Financials'!D12</x:f>
        <x:v>182527</x:v>
      </x:c>
      <x:c r="E12" s="46" t="n">
        <x:f>'Raw Financials'!D12-'Raw Financials'!E12</x:f>
        <x:v>97795</x:v>
      </x:c>
      <x:c r="F12" s="48" t="n">
        <x:f>E12/D12</x:f>
        <x:v>0.5357837470620785</x:v>
      </x:c>
      <x:c r="G12" s="48" t="n">
        <x:f>'Raw Financials'!F12/D12</x:f>
        <x:v>0.22585151785763202</x:v>
      </x:c>
      <x:c r="H12" s="48" t="n">
        <x:f>'Raw Financials'!G12/D12</x:f>
        <x:v>0.22061941520980458</x:v>
      </x:c>
      <x:c r="I12" s="46" t="n">
        <x:f>'Raw Financials'!H12-'Raw Financials'!I12</x:f>
        <x:v>42843</x:v>
      </x:c>
      <x:c r="J12" s="48" t="n">
        <x:f>I12/D12</x:f>
        <x:v>0.23472143847211646</x:v>
      </x:c>
      <x:c r="K12" s="50" t="n">
        <x:f>'Raw Financials'!K12/'Raw Financials'!J12</x:f>
        <x:v>0.19585351222438438</x:v>
      </x:c>
    </x:row>
    <x:row r="13">
      <x:c r="A13" s="44" t="str">
        <x:f>'Raw Financials'!A13</x:f>
        <x:v>GOOGL</x:v>
      </x:c>
      <x:c r="B13" s="44" t="str">
        <x:f>'Raw Financials'!B13</x:f>
        <x:v>Alphabet Inc.</x:v>
      </x:c>
      <x:c r="C13" s="44" t="n">
        <x:f>'Raw Financials'!C13</x:f>
        <x:v>2021</x:v>
      </x:c>
      <x:c r="D13" s="46" t="n">
        <x:f>'Raw Financials'!D13</x:f>
        <x:v>257637</x:v>
      </x:c>
      <x:c r="E13" s="46" t="n">
        <x:f>'Raw Financials'!D13-'Raw Financials'!E13</x:f>
        <x:v>146698</x:v>
      </x:c>
      <x:c r="F13" s="48" t="n">
        <x:f>E13/D13</x:f>
        <x:v>0.5693980290098084</x:v>
      </x:c>
      <x:c r="G13" s="48" t="n">
        <x:f>'Raw Financials'!F13/D13</x:f>
        <x:v>0.3055228868524319</x:v>
      </x:c>
      <x:c r="H13" s="48" t="n">
        <x:f>'Raw Financials'!G13/D13</x:f>
        <x:v>0.2951167728237792</x:v>
      </x:c>
      <x:c r="I13" s="46" t="n">
        <x:f>'Raw Financials'!H13-'Raw Financials'!I13</x:f>
        <x:v>67012</x:v>
      </x:c>
      <x:c r="J13" s="48" t="n">
        <x:f>I13/D13</x:f>
        <x:v>0.2601023921253547</x:v>
      </x:c>
      <x:c r="K13" s="50" t="n">
        <x:f>'Raw Financials'!K13/'Raw Financials'!J13</x:f>
        <x:v>0.2037895008199128</x:v>
      </x:c>
    </x:row>
    <x:row r="14">
      <x:c r="A14" s="44" t="str">
        <x:f>'Raw Financials'!A14</x:f>
        <x:v>GOOGL</x:v>
      </x:c>
      <x:c r="B14" s="44" t="str">
        <x:f>'Raw Financials'!B14</x:f>
        <x:v>Alphabet Inc.</x:v>
      </x:c>
      <x:c r="C14" s="44" t="n">
        <x:f>'Raw Financials'!C14</x:f>
        <x:v>2022</x:v>
      </x:c>
      <x:c r="D14" s="46" t="n">
        <x:f>'Raw Financials'!D14</x:f>
        <x:v>282836</x:v>
      </x:c>
      <x:c r="E14" s="46" t="n">
        <x:f>'Raw Financials'!D14-'Raw Financials'!E14</x:f>
        <x:v>156633</x:v>
      </x:c>
      <x:c r="F14" s="48" t="n">
        <x:f>E14/D14</x:f>
        <x:v>0.5537944250378312</x:v>
      </x:c>
      <x:c r="G14" s="48" t="n">
        <x:f>'Raw Financials'!F14/D14</x:f>
        <x:v>0.2646127084246701</x:v>
      </x:c>
      <x:c r="H14" s="48" t="n">
        <x:f>'Raw Financials'!G14/D14</x:f>
        <x:v>0.2120380715326196</x:v>
      </x:c>
      <x:c r="I14" s="46" t="n">
        <x:f>'Raw Financials'!H14-'Raw Financials'!I14</x:f>
        <x:v>60010</x:v>
      </x:c>
      <x:c r="J14" s="48" t="n">
        <x:f>I14/D14</x:f>
        <x:v>0.21217242500954617</x:v>
      </x:c>
      <x:c r="K14" s="50" t="n">
        <x:f>'Raw Financials'!K14/'Raw Financials'!J14</x:f>
        <x:v>0.2608867635941703</x:v>
      </x:c>
    </x:row>
    <x:row r="15">
      <x:c r="A15" s="44" t="str">
        <x:f>'Raw Financials'!A15</x:f>
        <x:v>GOOGL</x:v>
      </x:c>
      <x:c r="B15" s="44" t="str">
        <x:f>'Raw Financials'!B15</x:f>
        <x:v>Alphabet Inc.</x:v>
      </x:c>
      <x:c r="C15" s="44" t="n">
        <x:f>'Raw Financials'!C15</x:f>
        <x:v>2023</x:v>
      </x:c>
      <x:c r="D15" s="46" t="n">
        <x:f>'Raw Financials'!D15</x:f>
        <x:v>307394</x:v>
      </x:c>
      <x:c r="E15" s="46" t="n">
        <x:f>'Raw Financials'!D15-'Raw Financials'!E15</x:f>
        <x:v>174062</x:v>
      </x:c>
      <x:c r="F15" s="48" t="n">
        <x:f>E15/D15</x:f>
        <x:v>0.566250479840205</x:v>
      </x:c>
      <x:c r="G15" s="48" t="n">
        <x:f>'Raw Financials'!F15/D15</x:f>
        <x:v>0.27421810445226646</x:v>
      </x:c>
      <x:c r="H15" s="48" t="n">
        <x:f>'Raw Financials'!G15/D15</x:f>
        <x:v>0.24006649446638517</x:v>
      </x:c>
      <x:c r="I15" s="46" t="n">
        <x:f>'Raw Financials'!H15-'Raw Financials'!I15</x:f>
        <x:v>69495</x:v>
      </x:c>
      <x:c r="J15" s="48" t="n">
        <x:f>I15/D15</x:f>
        <x:v>0.22607793255561268</x:v>
      </x:c>
      <x:c r="K15" s="50" t="n">
        <x:f>'Raw Financials'!K15/'Raw Financials'!J15</x:f>
        <x:v>0.25856504021060983</x:v>
      </x:c>
    </x:row>
    <x:row r="16">
      <x:c r="A16" s="44" t="str">
        <x:f>'Raw Financials'!A16</x:f>
        <x:v>GOOGL</x:v>
      </x:c>
      <x:c r="B16" s="44" t="str">
        <x:f>'Raw Financials'!B16</x:f>
        <x:v>Alphabet Inc.</x:v>
      </x:c>
      <x:c r="C16" s="44" t="n">
        <x:f>'Raw Financials'!C16</x:f>
        <x:v>2024</x:v>
      </x:c>
      <x:c r="D16" s="46" t="n">
        <x:f>'Raw Financials'!D16</x:f>
        <x:v>350018</x:v>
      </x:c>
      <x:c r="E16" s="46" t="n">
        <x:f>'Raw Financials'!D16-'Raw Financials'!E16</x:f>
        <x:v>201834</x:v>
      </x:c>
      <x:c r="F16" s="48" t="n">
        <x:f>E16/D16</x:f>
        <x:v>0.5766389157129062</x:v>
      </x:c>
      <x:c r="G16" s="48" t="n">
        <x:f>'Raw Financials'!F16/D16</x:f>
        <x:v>0.32109777211457696</x:v>
      </x:c>
      <x:c r="H16" s="48" t="n">
        <x:f>'Raw Financials'!G16/D16</x:f>
        <x:v>0.28603671811164</x:v>
      </x:c>
      <x:c r="I16" s="46" t="n">
        <x:f>'Raw Financials'!H16-'Raw Financials'!I16</x:f>
        <x:v>73193</x:v>
      </x:c>
      <x:c r="J16" s="48" t="n">
        <x:f>I16/D16</x:f>
        <x:v>0.2091121028061414</x:v>
      </x:c>
      <x:c r="K16" s="50" t="n">
        <x:f>'Raw Financials'!K16/'Raw Financials'!J16</x:f>
        <x:v>0.2979767910673811</x:v>
      </x:c>
    </x:row>
  </x:sheetData>
  <x:pageMargins left="0.7" right="0.7" top="0.75" bottom="0.75" header="0.3" footer="0.3"/>
  <x:tableParts count="1">
    <x:tablePart xmlns:r="http://schemas.openxmlformats.org/officeDocument/2006/relationships" r:id="Rae5476ab027e493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1.9900016784668" hidden="0" customWidth="1"/>
    <x:col min="2" max="2" width="7.400000095367432" hidden="0" customWidth="1"/>
    <x:col min="3" max="3" width="7.400000095367432" hidden="0" customWidth="1"/>
    <x:col min="4" max="4" width="7.400000095367432" hidden="0" customWidth="1"/>
    <x:col min="5" max="5" width="7.400000095367432" hidden="0" customWidth="1"/>
    <x:col min="6" max="6" width="7.400000095367432" hidden="0" customWidth="1"/>
    <x:col min="7" max="7" width="7.400000095367432" hidden="0" customWidth="1"/>
    <x:col min="8" max="8" width="24.6299991607666" hidden="0" customWidth="1"/>
  </x:cols>
  <x:sheetData>
    <x:row r="1">
      <x:c r="A1" s="58" t="str">
        <x:v>5-Year Forecast - Selected Company</x:v>
      </x:c>
      <x:c r="B1" s="14"/>
      <x:c r="C1" s="14"/>
      <x:c r="D1" s="14"/>
      <x:c r="E1" s="14"/>
      <x:c r="F1" s="14"/>
      <x:c r="G1" s="14"/>
      <x:c r="H1" s="14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30" t="str">
        <x:v>Metric</x:v>
      </x:c>
      <x:c r="B3" s="30" t="str">
        <x:v>2024A</x:v>
      </x:c>
      <x:c r="C3" s="30" t="str">
        <x:v>2025E</x:v>
      </x:c>
      <x:c r="D3" s="30" t="str">
        <x:v>2026E</x:v>
      </x:c>
      <x:c r="E3" s="30" t="str">
        <x:v>2027E</x:v>
      </x:c>
      <x:c r="F3" s="30" t="str">
        <x:v>2028E</x:v>
      </x:c>
      <x:c r="G3" s="30" t="str">
        <x:v>2029E</x:v>
      </x:c>
      <x:c r="H3" s="30" t="str">
        <x:v>Formula Notes</x:v>
      </x:c>
    </x:row>
    <x:row r="4">
      <x:c r="A4" s="14" t="str">
        <x:v>Revenue ($mm)</x:v>
      </x:c>
      <x:c r="B4" s="59" t="n">
        <x:f>INDEX('Raw Financials'!$D$2:$D$16,MATCH(1,('Raw Financials'!$A$2:$A$16=Assumptions!$B$1)*('Raw Financials'!$C$2:$C$16=2024),0))</x:f>
        <x:v>391035</x:v>
      </x:c>
      <x:c r="C4" s="59" t="n">
        <x:f>B4*(1+INDEX(Assumptions!$B$6:$F$8,MATCH(Assumptions!$B$2,Assumptions!$A$6:$A$8,0),1))</x:f>
        <x:v>418407.45</x:v>
      </x:c>
      <x:c r="D4" s="59" t="n">
        <x:f>C4*(1+INDEX(Assumptions!$B$6:$F$8,MATCH(Assumptions!$B$2,Assumptions!$A$6:$A$8,0),2))</x:f>
        <x:v>445603.93425</x:v>
      </x:c>
      <x:c r="E4" s="59" t="n">
        <x:f>D4*(1+INDEX(Assumptions!$B$6:$F$8,MATCH(Assumptions!$B$2,Assumptions!$A$6:$A$8,0),3))</x:f>
        <x:v>472340.17030500004</x:v>
      </x:c>
      <x:c r="F4" s="59" t="n">
        <x:f>E4*(1+INDEX(Assumptions!$B$6:$F$8,MATCH(Assumptions!$B$2,Assumptions!$A$6:$A$8,0),4))</x:f>
        <x:v>498318.87967177504</x:v>
      </x:c>
      <x:c r="G4" s="59" t="n">
        <x:f>F4*(1+INDEX(Assumptions!$B$6:$F$8,MATCH(Assumptions!$B$2,Assumptions!$A$6:$A$8,0),5))</x:f>
        <x:v>523234.8236553638</x:v>
      </x:c>
      <x:c r="H4" s="14" t="str">
        <x:v>Historical or projected revenue</x:v>
      </x:c>
    </x:row>
    <x:row r="5">
      <x:c r="A5" s="14" t="str">
        <x:v>Revenue Growth</x:v>
      </x:c>
      <x:c r="B5" s="60" t="n">
        <x:f>B4/INDEX('Raw Financials'!$D$2:$D$16,MATCH(1,('Raw Financials'!$A$2:$A$16=Assumptions!$B$1)*('Raw Financials'!$C$2:$C$16=2023),0))-1</x:f>
        <x:v>0.02021994077514111</x:v>
      </x:c>
      <x:c r="C5" s="60" t="n">
        <x:f>C4/B4-1</x:f>
        <x:v>0.07000000000000006</x:v>
      </x:c>
      <x:c r="D5" s="60" t="n">
        <x:f>D4/C4-1</x:f>
        <x:v>0.06499999999999995</x:v>
      </x:c>
      <x:c r="E5" s="60" t="n">
        <x:f>E4/D4-1</x:f>
        <x:v>0.06000000000000005</x:v>
      </x:c>
      <x:c r="F5" s="60" t="n">
        <x:f>F4/E4-1</x:f>
        <x:v>0.05499999999999994</x:v>
      </x:c>
      <x:c r="G5" s="60" t="n">
        <x:f>G4/F4-1</x:f>
        <x:v>0.050000000000000044</x:v>
      </x:c>
      <x:c r="H5" s="14" t="str">
        <x:v>Year-over-year growth</x:v>
      </x:c>
    </x:row>
    <x:row r="6">
      <x:c r="A6" s="14" t="str">
        <x:v>EBIT ($mm)</x:v>
      </x:c>
      <x:c r="B6" s="59" t="n">
        <x:f>INDEX('Raw Financials'!$F$2:$F$16,MATCH(1,('Raw Financials'!$A$2:$A$16=Assumptions!$B$1)*('Raw Financials'!$C$2:$C$16=2024),0))</x:f>
        <x:v>123216</x:v>
      </x:c>
      <x:c r="C6" s="59" t="n">
        <x:f>C4*INDEX(Assumptions!$J$6:$J$8,MATCH(Assumptions!$B$2,Assumptions!$A$6:$A$8,0))</x:f>
        <x:v>125522.235</x:v>
      </x:c>
      <x:c r="D6" s="59" t="n">
        <x:f>D4*INDEX(Assumptions!$J$6:$J$8,MATCH(Assumptions!$B$2,Assumptions!$A$6:$A$8,0))</x:f>
        <x:v>133681.180275</x:v>
      </x:c>
      <x:c r="E6" s="59" t="n">
        <x:f>E4*INDEX(Assumptions!$J$6:$J$8,MATCH(Assumptions!$B$2,Assumptions!$A$6:$A$8,0))</x:f>
        <x:v>141702.0510915</x:v>
      </x:c>
      <x:c r="F6" s="59" t="n">
        <x:f>F4*INDEX(Assumptions!$J$6:$J$8,MATCH(Assumptions!$B$2,Assumptions!$A$6:$A$8,0))</x:f>
        <x:v>149495.6639015325</x:v>
      </x:c>
      <x:c r="G6" s="59" t="n">
        <x:f>G4*INDEX(Assumptions!$J$6:$J$8,MATCH(Assumptions!$B$2,Assumptions!$A$6:$A$8,0))</x:f>
        <x:v>156970.44709660913</x:v>
      </x:c>
      <x:c r="H6" s="14" t="str">
        <x:v>Revenue x EBIT margin</x:v>
      </x:c>
    </x:row>
    <x:row r="7">
      <x:c r="A7" s="14" t="str">
        <x:v>EBIT Margin</x:v>
      </x:c>
      <x:c r="B7" s="60" t="n">
        <x:f>B6/B4</x:f>
        <x:v>0.31510222870075566</x:v>
      </x:c>
      <x:c r="C7" s="60" t="n">
        <x:f>C6/C4</x:f>
        <x:v>0.3</x:v>
      </x:c>
      <x:c r="D7" s="60" t="n">
        <x:f>D6/D4</x:f>
        <x:v>0.3</x:v>
      </x:c>
      <x:c r="E7" s="60" t="n">
        <x:f>E6/E4</x:f>
        <x:v>0.3</x:v>
      </x:c>
      <x:c r="F7" s="60" t="n">
        <x:f>F6/F4</x:f>
        <x:v>0.3</x:v>
      </x:c>
      <x:c r="G7" s="60" t="n">
        <x:f>G6/G4</x:f>
        <x:v>0.3</x:v>
      </x:c>
      <x:c r="H7" s="14" t="str">
        <x:v>EBIT / revenue</x:v>
      </x:c>
    </x:row>
    <x:row r="8">
      <x:c r="A8" s="14" t="str">
        <x:v>Tax Expense ($mm)</x:v>
      </x:c>
      <x:c r="B8" s="59" t="n">
        <x:f>B6*INDEX(Assumptions!$I$6:$I$8,MATCH(Assumptions!$B$2,Assumptions!$A$6:$A$8,0))</x:f>
        <x:v>19714.56</x:v>
      </x:c>
      <x:c r="C8" s="59" t="n">
        <x:f>C6*INDEX(Assumptions!$I$6:$I$8,MATCH(Assumptions!$B$2,Assumptions!$A$6:$A$8,0))</x:f>
        <x:v>20083.5576</x:v>
      </x:c>
      <x:c r="D8" s="59" t="n">
        <x:f>D6*INDEX(Assumptions!$I$6:$I$8,MATCH(Assumptions!$B$2,Assumptions!$A$6:$A$8,0))</x:f>
        <x:v>21388.988844</x:v>
      </x:c>
      <x:c r="E8" s="59" t="n">
        <x:f>E6*INDEX(Assumptions!$I$6:$I$8,MATCH(Assumptions!$B$2,Assumptions!$A$6:$A$8,0))</x:f>
        <x:v>22672.328174640003</x:v>
      </x:c>
      <x:c r="F8" s="59" t="n">
        <x:f>F6*INDEX(Assumptions!$I$6:$I$8,MATCH(Assumptions!$B$2,Assumptions!$A$6:$A$8,0))</x:f>
        <x:v>23919.3062242452</x:v>
      </x:c>
      <x:c r="G8" s="59" t="n">
        <x:f>G6*INDEX(Assumptions!$I$6:$I$8,MATCH(Assumptions!$B$2,Assumptions!$A$6:$A$8,0))</x:f>
        <x:v>25115.27153545746</x:v>
      </x:c>
      <x:c r="H8" s="14" t="str">
        <x:v>EBIT x tax rate</x:v>
      </x:c>
    </x:row>
    <x:row r="9">
      <x:c r="A9" s="14" t="str">
        <x:v>NOPAT ($mm)</x:v>
      </x:c>
      <x:c r="B9" s="59" t="n">
        <x:f>B6-B8</x:f>
        <x:v>103501.44</x:v>
      </x:c>
      <x:c r="C9" s="59" t="n">
        <x:f>C6-C8</x:f>
        <x:v>105438.6774</x:v>
      </x:c>
      <x:c r="D9" s="59" t="n">
        <x:f>D6-D8</x:f>
        <x:v>112292.19143099998</x:v>
      </x:c>
      <x:c r="E9" s="59" t="n">
        <x:f>E6-E8</x:f>
        <x:v>119029.72291686</x:v>
      </x:c>
      <x:c r="F9" s="59" t="n">
        <x:f>F6-F8</x:f>
        <x:v>125576.3576772873</x:v>
      </x:c>
      <x:c r="G9" s="59" t="n">
        <x:f>G6-G8</x:f>
        <x:v>131855.17556115167</x:v>
      </x:c>
      <x:c r="H9" s="14" t="str">
        <x:v>EBIT after tax</x:v>
      </x:c>
    </x:row>
    <x:row r="10">
      <x:c r="A10" s="14" t="str">
        <x:v>Depreciation ($mm)</x:v>
      </x:c>
      <x:c r="B10" s="59" t="n">
        <x:f>B4*4.5%</x:f>
        <x:v>17596.575</x:v>
      </x:c>
      <x:c r="C10" s="59" t="n">
        <x:f>C4*4.5%</x:f>
        <x:v>18828.33525</x:v>
      </x:c>
      <x:c r="D10" s="59" t="n">
        <x:f>D4*4.5%</x:f>
        <x:v>20052.177041249997</x:v>
      </x:c>
      <x:c r="E10" s="59" t="n">
        <x:f>E4*4.5%</x:f>
        <x:v>21255.307663725</x:v>
      </x:c>
      <x:c r="F10" s="59" t="n">
        <x:f>F4*4.5%</x:f>
        <x:v>22424.349585229877</x:v>
      </x:c>
      <x:c r="G10" s="59" t="n">
        <x:f>G4*4.5%</x:f>
        <x:v>23545.56706449137</x:v>
      </x:c>
      <x:c r="H10" s="14" t="str">
        <x:v>Revenue x 4.5%</x:v>
      </x:c>
    </x:row>
    <x:row r="11">
      <x:c r="A11" s="14" t="str">
        <x:v>Capex ($mm)</x:v>
      </x:c>
      <x:c r="B11" s="59" t="n">
        <x:f>INDEX('Raw Financials'!$I$2:$I$16,MATCH(1,('Raw Financials'!$A$2:$A$16=Assumptions!$B$1)*('Raw Financials'!$C$2:$C$16=2024),0))</x:f>
        <x:v>9447</x:v>
      </x:c>
      <x:c r="C11" s="59" t="n">
        <x:f>C4*INDEX(Assumptions!$K$6:$K$8,MATCH(Assumptions!$B$2,Assumptions!$A$6:$A$8,0))</x:f>
        <x:v>33472.596000000005</x:v>
      </x:c>
      <x:c r="D11" s="59" t="n">
        <x:f>D4*INDEX(Assumptions!$K$6:$K$8,MATCH(Assumptions!$B$2,Assumptions!$A$6:$A$8,0))</x:f>
        <x:v>35648.31474</x:v>
      </x:c>
      <x:c r="E11" s="59" t="n">
        <x:f>E4*INDEX(Assumptions!$K$6:$K$8,MATCH(Assumptions!$B$2,Assumptions!$A$6:$A$8,0))</x:f>
        <x:v>37787.21362440001</x:v>
      </x:c>
      <x:c r="F11" s="59" t="n">
        <x:f>F4*INDEX(Assumptions!$K$6:$K$8,MATCH(Assumptions!$B$2,Assumptions!$A$6:$A$8,0))</x:f>
        <x:v>39865.51037374201</x:v>
      </x:c>
      <x:c r="G11" s="59" t="n">
        <x:f>G4*INDEX(Assumptions!$K$6:$K$8,MATCH(Assumptions!$B$2,Assumptions!$A$6:$A$8,0))</x:f>
        <x:v>41858.78589242911</x:v>
      </x:c>
      <x:c r="H11" s="14" t="str">
        <x:v>Revenue x capex %</x:v>
      </x:c>
    </x:row>
    <x:row r="12">
      <x:c r="A12" s="14" t="str">
        <x:v>Change in NWC ($mm)</x:v>
      </x:c>
      <x:c r="B12" s="59" t="n">
        <x:f>B4*INDEX(Assumptions!$L$6:$L$8,MATCH(Assumptions!$B$2,Assumptions!$A$6:$A$8,0))</x:f>
        <x:v>5865.525</x:v>
      </x:c>
      <x:c r="C12" s="59" t="n">
        <x:f>C4*INDEX(Assumptions!$L$6:$L$8,MATCH(Assumptions!$B$2,Assumptions!$A$6:$A$8,0))</x:f>
        <x:v>6276.11175</x:v>
      </x:c>
      <x:c r="D12" s="59" t="n">
        <x:f>D4*INDEX(Assumptions!$L$6:$L$8,MATCH(Assumptions!$B$2,Assumptions!$A$6:$A$8,0))</x:f>
        <x:v>6684.059013749999</x:v>
      </x:c>
      <x:c r="E12" s="59" t="n">
        <x:f>E4*INDEX(Assumptions!$L$6:$L$8,MATCH(Assumptions!$B$2,Assumptions!$A$6:$A$8,0))</x:f>
        <x:v>7085.102554575</x:v>
      </x:c>
      <x:c r="F12" s="59" t="n">
        <x:f>F4*INDEX(Assumptions!$L$6:$L$8,MATCH(Assumptions!$B$2,Assumptions!$A$6:$A$8,0))</x:f>
        <x:v>7474.783195076625</x:v>
      </x:c>
      <x:c r="G12" s="59" t="n">
        <x:f>G4*INDEX(Assumptions!$L$6:$L$8,MATCH(Assumptions!$B$2,Assumptions!$A$6:$A$8,0))</x:f>
        <x:v>7848.522354830457</x:v>
      </x:c>
      <x:c r="H12" s="14" t="str">
        <x:v>Revenue x NWC %</x:v>
      </x:c>
    </x:row>
    <x:row r="13">
      <x:c r="A13" s="14" t="str">
        <x:v>Free Cash Flow ($mm)</x:v>
      </x:c>
      <x:c r="B13" s="59" t="n">
        <x:f>B9+B10-B11-B12</x:f>
        <x:v>105785.49</x:v>
      </x:c>
      <x:c r="C13" s="59" t="n">
        <x:f>C9+C10-C11-C12</x:f>
        <x:v>84518.3049</x:v>
      </x:c>
      <x:c r="D13" s="59" t="n">
        <x:f>D9+D10-D11-D12</x:f>
        <x:v>90011.99471849998</x:v>
      </x:c>
      <x:c r="E13" s="59" t="n">
        <x:f>E9+E10-E11-E12</x:f>
        <x:v>95412.71440161</x:v>
      </x:c>
      <x:c r="F13" s="59" t="n">
        <x:f>F9+F10-F11-F12</x:f>
        <x:v>100660.41369369856</x:v>
      </x:c>
      <x:c r="G13" s="59" t="n">
        <x:f>G9+G10-G11-G12</x:f>
        <x:v>105693.43437838348</x:v>
      </x:c>
      <x:c r="H13" s="14" t="str">
        <x:v>NOPAT + D&amp;A - capex - NWC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.049999237060547" hidden="0" customWidth="1"/>
    <x:col min="2" max="2" width="8.880000114440918" hidden="0" customWidth="1"/>
    <x:col min="3" max="3" width="6.460000038146973" hidden="0" customWidth="1"/>
    <x:col min="4" max="4" width="6.460000038146973" hidden="0" customWidth="1"/>
    <x:col min="5" max="5" width="7.400000095367432" hidden="0" customWidth="1"/>
    <x:col min="6" max="6" width="7.400000095367432" hidden="0" customWidth="1"/>
  </x:cols>
  <x:sheetData>
    <x:row r="1">
      <x:c r="A1" s="53" t="str">
        <x:v>DCF Valuation</x:v>
      </x:c>
    </x:row>
    <x:row r="3">
      <x:c r="A3" s="19" t="str">
        <x:v>Metric</x:v>
      </x:c>
      <x:c r="B3" s="19" t="str">
        <x:v>2025E</x:v>
      </x:c>
      <x:c r="C3" s="19" t="str">
        <x:v>2026E</x:v>
      </x:c>
      <x:c r="D3" s="19" t="str">
        <x:v>2027E</x:v>
      </x:c>
      <x:c r="E3" s="19" t="str">
        <x:v>2028E</x:v>
      </x:c>
      <x:c r="F3" s="19" t="str">
        <x:v>2029E</x:v>
      </x:c>
    </x:row>
    <x:row r="4">
      <x:c r="A4" t="str">
        <x:v>Free Cash Flow ($mm)</x:v>
      </x:c>
      <x:c r="B4" s="56" t="n">
        <x:f>Forecast!C13</x:f>
        <x:v>84518.3049</x:v>
      </x:c>
      <x:c r="C4" s="56" t="n">
        <x:f>Forecast!D13</x:f>
        <x:v>90011.99471849998</x:v>
      </x:c>
      <x:c r="D4" s="56" t="n">
        <x:f>Forecast!E13</x:f>
        <x:v>95412.71440161</x:v>
      </x:c>
      <x:c r="E4" s="56" t="n">
        <x:f>Forecast!F13</x:f>
        <x:v>100660.41369369856</x:v>
      </x:c>
      <x:c r="F4" s="56" t="n">
        <x:f>Forecast!G13</x:f>
        <x:v>105693.43437838348</x:v>
      </x:c>
    </x:row>
    <x:row r="5">
      <x:c r="A5" t="str">
        <x:v>Discount Factor</x:v>
      </x:c>
      <x:c r="B5" s="42" t="n">
        <x:f>1/(1+INDEX(Assumptions!$H$6:$H$8,MATCH(Assumptions!$B$2,Assumptions!$A$6:$A$8,0)))^1</x:f>
        <x:v>0.9216589861751152</x:v>
      </x:c>
      <x:c r="C5" s="42" t="n">
        <x:f>1/(1+INDEX(Assumptions!$H$6:$H$8,MATCH(Assumptions!$B$2,Assumptions!$A$6:$A$8,0)))^2</x:f>
        <x:v>0.8494552867973413</x:v>
      </x:c>
      <x:c r="D5" s="42" t="n">
        <x:f>1/(1+INDEX(Assumptions!$H$6:$H$8,MATCH(Assumptions!$B$2,Assumptions!$A$6:$A$8,0)))^3</x:f>
        <x:v>0.7829080984307292</x:v>
      </x:c>
      <x:c r="E5" s="42" t="n">
        <x:f>1/(1+INDEX(Assumptions!$H$6:$H$8,MATCH(Assumptions!$B$2,Assumptions!$A$6:$A$8,0)))^4</x:f>
        <x:v>0.7215742842679533</x:v>
      </x:c>
      <x:c r="F5" s="42" t="n">
        <x:f>1/(1+INDEX(Assumptions!$H$6:$H$8,MATCH(Assumptions!$B$2,Assumptions!$A$6:$A$8,0)))^5</x:f>
        <x:v>0.6650454232884362</x:v>
      </x:c>
    </x:row>
    <x:row r="6">
      <x:c r="A6" t="str">
        <x:v>PV of FCF ($mm)</x:v>
      </x:c>
      <x:c r="B6" s="56" t="n">
        <x:f>B4*B5</x:f>
        <x:v>77897.05520737327</x:v>
      </x:c>
      <x:c r="C6" s="56" t="n">
        <x:f>C4*C5</x:f>
        <x:v>76461.16478880416</x:v>
      </x:c>
      <x:c r="D6" s="56" t="n">
        <x:f>D4*D5</x:f>
        <x:v>74699.38679827873</x:v>
      </x:c>
      <x:c r="E6" s="56" t="n">
        <x:f>E4*E5</x:f>
        <x:v>72633.96596514662</x:v>
      </x:c>
      <x:c r="F6" s="56" t="n">
        <x:f>F4*F5</x:f>
        <x:v>70290.9348049806</x:v>
      </x:c>
    </x:row>
    <x:row r="8">
      <x:c r="A8" s="14" t="str">
        <x:v>Terminal FCF ($mm)</x:v>
      </x:c>
      <x:c r="B8" s="59" t="n">
        <x:f>F4*(1+INDEX(Assumptions!$G$6:$G$8,MATCH(Assumptions!$B$2,Assumptions!$A$6:$A$8,0)))</x:f>
        <x:v>108335.77023784305</x:v>
      </x:c>
    </x:row>
    <x:row r="9">
      <x:c r="A9" s="14" t="str">
        <x:v>Terminal Growth</x:v>
      </x:c>
      <x:c r="B9" s="60" t="n">
        <x:f>INDEX(Assumptions!$G$6:$G$8,MATCH(Assumptions!$B$2,Assumptions!$A$6:$A$8,0))</x:f>
        <x:v>0.025</x:v>
      </x:c>
    </x:row>
    <x:row r="10">
      <x:c r="A10" s="14" t="str">
        <x:v>WACC</x:v>
      </x:c>
      <x:c r="B10" s="60" t="n">
        <x:f>INDEX(Assumptions!$H$6:$H$8,MATCH(Assumptions!$B$2,Assumptions!$A$6:$A$8,0))</x:f>
        <x:v>0.085</x:v>
      </x:c>
    </x:row>
    <x:row r="11">
      <x:c r="A11" s="14" t="str">
        <x:v>Terminal Value ($mm)</x:v>
      </x:c>
      <x:c r="B11" s="59" t="n">
        <x:f>B8/(B10-B9)</x:f>
        <x:v>1805596.1706307174</x:v>
      </x:c>
    </x:row>
    <x:row r="12">
      <x:c r="A12" s="14" t="str">
        <x:v>PV Terminal Value ($mm)</x:v>
      </x:c>
      <x:c r="B12" s="59" t="n">
        <x:f>B11*F5</x:f>
        <x:v>1200803.4695850848</x:v>
      </x:c>
    </x:row>
    <x:row r="13">
      <x:c r="A13" s="14" t="str">
        <x:v>Enterprise Value ($mm)</x:v>
      </x:c>
      <x:c r="B13" s="59" t="n">
        <x:f>SUM(B6:F6)+B12</x:f>
        <x:v>1572785.9771496681</x:v>
      </x:c>
    </x:row>
    <x:row r="14">
      <x:c r="A14" s="14" t="str">
        <x:v>Cash &amp; STI ($mm)</x:v>
      </x:c>
      <x:c r="B14" s="59" t="n">
        <x:f>INDEX('Raw Financials'!$J$2:$J$16,MATCH(1,('Raw Financials'!$A$2:$A$16=Assumptions!$B$1)*('Raw Financials'!$C$2:$C$16=2024),0))</x:f>
        <x:v>65171</x:v>
      </x:c>
    </x:row>
    <x:row r="15">
      <x:c r="A15" s="14" t="str">
        <x:v>Total Debt ($mm)</x:v>
      </x:c>
      <x:c r="B15" s="59" t="n">
        <x:f>INDEX('Raw Financials'!$K$2:$K$16,MATCH(1,('Raw Financials'!$A$2:$A$16=Assumptions!$B$1)*('Raw Financials'!$C$2:$C$16=2024),0))</x:f>
        <x:v>106629</x:v>
      </x:c>
    </x:row>
    <x:row r="16">
      <x:c r="A16" s="14" t="str">
        <x:v>Equity Value ($mm)</x:v>
      </x:c>
      <x:c r="B16" s="59" t="n">
        <x:f>B13+B14-B15</x:f>
        <x:v>1531327.9771496681</x:v>
      </x:c>
    </x:row>
    <x:row r="17">
      <x:c r="A17" s="14" t="str">
        <x:v>Equity Value / Share</x:v>
      </x:c>
      <x:c r="B17" s="66" t="n">
        <x:f>B16/INDEX('Raw Financials'!$L$2:$L$16,MATCH(1,('Raw Financials'!$A$2:$A$16=Assumptions!$B$1)*('Raw Financials'!$C$2:$C$16=2024),0))</x:f>
        <x:v>99.80629454146309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7.989999771118164" hidden="0" customWidth="1"/>
    <x:col min="2" max="2" width="14.399999618530273" hidden="0" customWidth="1"/>
    <x:col min="3" max="3" width="18.170000076293945" hidden="0" customWidth="1"/>
    <x:col min="4" max="4" width="11.979999542236328" hidden="0" customWidth="1"/>
    <x:col min="5" max="5" width="15.069999694824219" hidden="0" customWidth="1"/>
    <x:col min="6" max="6" width="14.399999618530273" hidden="0" customWidth="1"/>
    <x:col min="7" max="7" width="14.539999961853027" hidden="0" customWidth="1"/>
    <x:col min="8" max="8" width="22.34000015258789" hidden="0" customWidth="1"/>
    <x:col min="9" max="9" width="14" hidden="0" customWidth="1"/>
    <x:col min="10" max="10" width="9.6899995803833" hidden="0" customWidth="1"/>
    <x:col min="11" max="11" width="9.829999923706055" hidden="0" customWidth="1"/>
  </x:cols>
  <x:sheetData>
    <x:row r="1">
      <x:c r="A1" s="69" t="str">
        <x:v>Executive Dashboard</x:v>
      </x:c>
    </x:row>
    <x:row r="3">
      <x:c r="A3" s="19" t="str">
        <x:v>Selected Company</x:v>
      </x:c>
      <x:c r="B3" s="19" t="str">
        <x:v>Selected Scenario</x:v>
      </x:c>
      <x:c r="C3" s="19" t="str">
        <x:v>Latest Revenue ($mm)</x:v>
      </x:c>
      <x:c r="D3" s="19" t="str">
        <x:v>Revenue CAGR</x:v>
      </x:c>
      <x:c r="E3" s="19" t="str">
        <x:v>Latest EBIT Margin</x:v>
      </x:c>
      <x:c r="F3" s="19" t="str">
        <x:v>Latest FCF Margin</x:v>
      </x:c>
      <x:c r="G3" s="19" t="str">
        <x:v>DCF Value / Share</x:v>
      </x:c>
      <x:c r="H3" s="19" t="str">
        <x:v>Recommendation</x:v>
      </x:c>
    </x:row>
    <x:row r="4">
      <x:c r="A4" t="str">
        <x:f>Assumptions!B1</x:f>
        <x:v>AAPL</x:v>
      </x:c>
      <x:c r="B4" t="str">
        <x:f>Assumptions!B2</x:f>
        <x:v>Base</x:v>
      </x:c>
      <x:c r="C4" s="56" t="n">
        <x:f>INDEX('Raw Financials'!$D$2:$D$16,MATCH(1,('Raw Financials'!$A$2:$A$16=Assumptions!$B$1)*('Raw Financials'!$C$2:$C$16=2024),0))</x:f>
        <x:v>391035</x:v>
      </x:c>
      <x:c r="D4" s="42" t="n">
        <x:f>(C4/INDEX('Raw Financials'!$D$2:$D$16,MATCH(1,('Raw Financials'!$A$2:$A$16=Assumptions!$B$1)*('Raw Financials'!$C$2:$C$16=2020),0)))^(1/4)-1</x:f>
        <x:v>0.09247721446491397</x:v>
      </x:c>
      <x:c r="E4" s="42" t="n">
        <x:f>INDEX(Ratios!$G$2:$G$16,MATCH(1,(Ratios!$A$2:$A$16=Assumptions!$B$1)*(Ratios!$C$2:$C$16=2024),0))</x:f>
        <x:v>0.31510222870075566</x:v>
      </x:c>
      <x:c r="F4" s="42" t="n">
        <x:f>INDEX(Ratios!$J$2:$J$16,MATCH(1,(Ratios!$A$2:$A$16=Assumptions!$B$1)*(Ratios!$C$2:$C$16=2024),0))</x:f>
        <x:v>0.27825386474356517</x:v>
      </x:c>
      <x:c r="G4" s="64" t="n">
        <x:f>'DCF Valuation'!B17</x:f>
        <x:v>99.80629454146309</x:v>
      </x:c>
      <x:c r="H4" t="str">
        <x:f>IF(G4&gt;100,"Attractive / review upside","Monitor valuation discipline")</x:f>
        <x:v>Monitor valuation discipline</x:v>
      </x:c>
    </x:row>
    <x:row r="6">
      <x:c r="A6" s="19" t="str">
        <x:v>Ticker</x:v>
      </x:c>
      <x:c r="B6" s="19" t="str">
        <x:v>Revenue CAGR</x:v>
      </x:c>
      <x:c r="C6" s="19" t="str">
        <x:v>Gross Margin</x:v>
      </x:c>
      <x:c r="D6" s="19" t="str">
        <x:v>EBIT Margin</x:v>
      </x:c>
      <x:c r="E6" s="19" t="str">
        <x:v>Net Margin</x:v>
      </x:c>
      <x:c r="F6" s="19" t="str">
        <x:v>FCF Margin</x:v>
      </x:c>
      <x:c r="G6" s="19" t="str">
        <x:v>Debt / Cash</x:v>
      </x:c>
      <x:c r="H6" s="19" t="str">
        <x:v>Latest Revenue ($mm)</x:v>
      </x:c>
      <x:c r="I6" s="19" t="str">
        <x:v>Latest FCF ($mm)</x:v>
      </x:c>
      <x:c r="J6" s="19" t="str">
        <x:v>Cash ($mm)</x:v>
      </x:c>
      <x:c r="K6" s="19" t="str">
        <x:v>Debt ($mm)</x:v>
      </x:c>
    </x:row>
    <x:row r="7">
      <x:c r="A7" t="str">
        <x:v>AAPL</x:v>
      </x:c>
      <x:c r="B7" s="42" t="n">
        <x:f>(INDEX('Raw Financials'!$D$2:$D$16,MATCH(1,('Raw Financials'!$A$2:$A$16=A7)*('Raw Financials'!$C$2:$C$16=2024),0))/INDEX('Raw Financials'!$D$2:$D$16,MATCH(1,('Raw Financials'!$A$2:$A$16=A7)*('Raw Financials'!$C$2:$C$16=2020),0)))^(1/4)-1</x:f>
        <x:v>0.09247721446491397</x:v>
      </x:c>
      <x:c r="C7" s="42" t="n">
        <x:f>INDEX(Ratios!$F$2:$F$16,MATCH(1,(Ratios!$A$2:$A$16=A7)*(Ratios!$C$2:$C$16=2024),0))</x:f>
        <x:v>0.4620634981523393</x:v>
      </x:c>
      <x:c r="D7" s="42" t="n">
        <x:f>INDEX(Ratios!$G$2:$G$16,MATCH(1,(Ratios!$A$2:$A$16=A7)*(Ratios!$C$2:$C$16=2024),0))</x:f>
        <x:v>0.31510222870075566</x:v>
      </x:c>
      <x:c r="E7" s="42" t="n">
        <x:f>INDEX(Ratios!$H$2:$H$16,MATCH(1,(Ratios!$A$2:$A$16=A7)*(Ratios!$C$2:$C$16=2024),0))</x:f>
        <x:v>0.23971255769943867</x:v>
      </x:c>
      <x:c r="F7" s="42" t="n">
        <x:f>INDEX(Ratios!$J$2:$J$16,MATCH(1,(Ratios!$A$2:$A$16=A7)*(Ratios!$C$2:$C$16=2024),0))</x:f>
        <x:v>0.27825386474356517</x:v>
      </x:c>
      <x:c r="G7" s="72" t="n">
        <x:f>INDEX(Ratios!$K$2:$K$16,MATCH(1,(Ratios!$A$2:$A$16=A7)*(Ratios!$C$2:$C$16=2024),0))</x:f>
        <x:v>1.63614184223044</x:v>
      </x:c>
      <x:c r="H7" s="56" t="n">
        <x:f>INDEX('Raw Financials'!$D$2:$D$16,MATCH(1,('Raw Financials'!$A$2:$A$16=A7)*('Raw Financials'!$C$2:$C$16=2024),0))</x:f>
        <x:v>391035</x:v>
      </x:c>
      <x:c r="I7" s="56" t="n">
        <x:f>INDEX(Ratios!$I$2:$I$16,MATCH(1,(Ratios!$A$2:$A$16=A7)*(Ratios!$C$2:$C$16=2024),0))</x:f>
        <x:v>108807</x:v>
      </x:c>
      <x:c r="J7" s="56" t="n">
        <x:f>INDEX('Raw Financials'!$J$2:$J$16,MATCH(1,('Raw Financials'!$A$2:$A$16=A7)*('Raw Financials'!$C$2:$C$16=2024),0))</x:f>
        <x:v>65171</x:v>
      </x:c>
      <x:c r="K7" s="56" t="n">
        <x:f>INDEX('Raw Financials'!$K$2:$K$16,MATCH(1,('Raw Financials'!$A$2:$A$16=A7)*('Raw Financials'!$C$2:$C$16=2024),0))</x:f>
        <x:v>106629</x:v>
      </x:c>
    </x:row>
    <x:row r="8">
      <x:c r="A8" t="str">
        <x:v>MSFT</x:v>
      </x:c>
      <x:c r="B8" s="42" t="n">
        <x:f>(INDEX('Raw Financials'!$D$2:$D$16,MATCH(1,('Raw Financials'!$A$2:$A$16=A8)*('Raw Financials'!$C$2:$C$16=2024),0))/INDEX('Raw Financials'!$D$2:$D$16,MATCH(1,('Raw Financials'!$A$2:$A$16=A8)*('Raw Financials'!$C$2:$C$16=2020),0)))^(1/4)-1</x:f>
        <x:v>0.14419534154650138</x:v>
      </x:c>
      <x:c r="C8" s="42" t="n">
        <x:f>INDEX(Ratios!$F$2:$F$16,MATCH(1,(Ratios!$A$2:$A$16=A8)*(Ratios!$C$2:$C$16=2024),0))</x:f>
        <x:v>0.6976444382797138</x:v>
      </x:c>
      <x:c r="D8" s="42" t="n">
        <x:f>INDEX(Ratios!$G$2:$G$16,MATCH(1,(Ratios!$A$2:$A$16=A8)*(Ratios!$C$2:$C$16=2024),0))</x:f>
        <x:v>0.44644299573273716</x:v>
      </x:c>
      <x:c r="E8" s="42" t="n">
        <x:f>INDEX(Ratios!$H$2:$H$16,MATCH(1,(Ratios!$A$2:$A$16=A8)*(Ratios!$C$2:$C$16=2024),0))</x:f>
        <x:v>0.35955972944084985</x:v>
      </x:c>
      <x:c r="F8" s="42" t="n">
        <x:f>INDEX(Ratios!$J$2:$J$16,MATCH(1,(Ratios!$A$2:$A$16=A8)*(Ratios!$C$2:$C$16=2024),0))</x:f>
        <x:v>0.3021801388696241</x:v>
      </x:c>
      <x:c r="G8" s="72" t="n">
        <x:f>INDEX(Ratios!$K$2:$K$16,MATCH(1,(Ratios!$A$2:$A$16=A8)*(Ratios!$C$2:$C$16=2024),0))</x:f>
        <x:v>0.8887344269240445</x:v>
      </x:c>
      <x:c r="H8" s="56" t="n">
        <x:f>INDEX('Raw Financials'!$D$2:$D$16,MATCH(1,('Raw Financials'!$A$2:$A$16=A8)*('Raw Financials'!$C$2:$C$16=2024),0))</x:f>
        <x:v>245122</x:v>
      </x:c>
      <x:c r="I8" s="56" t="n">
        <x:f>INDEX(Ratios!$I$2:$I$16,MATCH(1,(Ratios!$A$2:$A$16=A8)*(Ratios!$C$2:$C$16=2024),0))</x:f>
        <x:v>74071</x:v>
      </x:c>
      <x:c r="J8" s="56" t="n">
        <x:f>INDEX('Raw Financials'!$J$2:$J$16,MATCH(1,('Raw Financials'!$A$2:$A$16=A8)*('Raw Financials'!$C$2:$C$16=2024),0))</x:f>
        <x:v>75531</x:v>
      </x:c>
      <x:c r="K8" s="56" t="n">
        <x:f>INDEX('Raw Financials'!$K$2:$K$16,MATCH(1,('Raw Financials'!$A$2:$A$16=A8)*('Raw Financials'!$C$2:$C$16=2024),0))</x:f>
        <x:v>67127</x:v>
      </x:c>
    </x:row>
    <x:row r="9">
      <x:c r="A9" t="str">
        <x:v>GOOGL</x:v>
      </x:c>
      <x:c r="B9" s="42" t="n">
        <x:f>(INDEX('Raw Financials'!$D$2:$D$16,MATCH(1,('Raw Financials'!$A$2:$A$16=A9)*('Raw Financials'!$C$2:$C$16=2024),0))/INDEX('Raw Financials'!$D$2:$D$16,MATCH(1,('Raw Financials'!$A$2:$A$16=A9)*('Raw Financials'!$C$2:$C$16=2020),0)))^(1/4)-1</x:f>
        <x:v>0.17676790710897228</x:v>
      </x:c>
      <x:c r="C9" s="42" t="n">
        <x:f>INDEX(Ratios!$F$2:$F$16,MATCH(1,(Ratios!$A$2:$A$16=A9)*(Ratios!$C$2:$C$16=2024),0))</x:f>
        <x:v>0.5766389157129062</x:v>
      </x:c>
      <x:c r="D9" s="42" t="n">
        <x:f>INDEX(Ratios!$G$2:$G$16,MATCH(1,(Ratios!$A$2:$A$16=A9)*(Ratios!$C$2:$C$16=2024),0))</x:f>
        <x:v>0.32109777211457696</x:v>
      </x:c>
      <x:c r="E9" s="42" t="n">
        <x:f>INDEX(Ratios!$H$2:$H$16,MATCH(1,(Ratios!$A$2:$A$16=A9)*(Ratios!$C$2:$C$16=2024),0))</x:f>
        <x:v>0.28603671811164</x:v>
      </x:c>
      <x:c r="F9" s="42" t="n">
        <x:f>INDEX(Ratios!$J$2:$J$16,MATCH(1,(Ratios!$A$2:$A$16=A9)*(Ratios!$C$2:$C$16=2024),0))</x:f>
        <x:v>0.2091121028061414</x:v>
      </x:c>
      <x:c r="G9" s="72" t="n">
        <x:f>INDEX(Ratios!$K$2:$K$16,MATCH(1,(Ratios!$A$2:$A$16=A9)*(Ratios!$C$2:$C$16=2024),0))</x:f>
        <x:v>0.2979767910673811</x:v>
      </x:c>
      <x:c r="H9" s="56" t="n">
        <x:f>INDEX('Raw Financials'!$D$2:$D$16,MATCH(1,('Raw Financials'!$A$2:$A$16=A9)*('Raw Financials'!$C$2:$C$16=2024),0))</x:f>
        <x:v>350018</x:v>
      </x:c>
      <x:c r="I9" s="56" t="n">
        <x:f>INDEX(Ratios!$I$2:$I$16,MATCH(1,(Ratios!$A$2:$A$16=A9)*(Ratios!$C$2:$C$16=2024),0))</x:f>
        <x:v>73193</x:v>
      </x:c>
      <x:c r="J9" s="56" t="n">
        <x:f>INDEX('Raw Financials'!$J$2:$J$16,MATCH(1,('Raw Financials'!$A$2:$A$16=A9)*('Raw Financials'!$C$2:$C$16=2024),0))</x:f>
        <x:v>95739</x:v>
      </x:c>
      <x:c r="K9" s="56" t="n">
        <x:f>INDEX('Raw Financials'!$K$2:$K$16,MATCH(1,('Raw Financials'!$A$2:$A$16=A9)*('Raw Financials'!$C$2:$C$16=2024),0))</x:f>
        <x:v>28528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13993c63c0b14c1d"/>
</x:worksheet>
</file>

<file path=xl/worksheets/sheet8.xml><?xml version="1.0" encoding="utf-8"?>
<x:worksheet xmlns:x="http://schemas.openxmlformats.org/spreadsheetml/2006/main">
  <x:sheetFormatPr defaultRowHeight="15"/>
  <x:cols>
    <x:col min="1" max="1" width="30.280000686645508" hidden="0" customWidth="1"/>
    <x:col min="2" max="2" width="62.45000076293945" hidden="0" customWidth="1"/>
    <x:col min="3" max="3" width="31.219999313354492" hidden="0" customWidth="1"/>
    <x:col min="4" max="4" width="43.20000076293945" hidden="0" customWidth="1"/>
  </x:cols>
  <x:sheetData>
    <x:row r="1">
      <x:c r="A1" s="19" t="str">
        <x:v>Source</x:v>
      </x:c>
      <x:c r="B1" s="19" t="str">
        <x:v>URL</x:v>
      </x:c>
      <x:c r="C1" s="19" t="str">
        <x:v>Usage</x:v>
      </x:c>
      <x:c r="D1" s="19" t="str">
        <x:v>Notes</x:v>
      </x:c>
    </x:row>
    <x:row r="2">
      <x:c r="A2" s="14" t="str">
        <x:v>SEC EDGAR Company Facts API</x:v>
      </x:c>
      <x:c r="B2" s="14" t="str">
        <x:v>https://www.sec.gov/search-filings/edgar-application-programming-interfaces</x:v>
      </x:c>
      <x:c r="C2" s="14" t="str">
        <x:v>Historical financial statement data</x:v>
      </x:c>
      <x:c r="D2" s="14" t="str">
        <x:v>Use companyfacts endpoint with CIK</x:v>
      </x:c>
    </x:row>
    <x:row r="3">
      <x:c r="A3" s="14" t="str">
        <x:v>SEC Company Facts endpoint example</x:v>
      </x:c>
      <x:c r="B3" s="14" t="str">
        <x:v>https://data.sec.gov/api/xbrl/companyfacts/CIK##########.json</x:v>
      </x:c>
      <x:c r="C3" s="14" t="str">
        <x:v>Programmatic XBRL fact retrieval</x:v>
      </x:c>
      <x:c r="D3" s="14" t="str">
        <x:v>Replace # with zero-padded CIK</x:v>
      </x:c>
    </x:row>
    <x:row r="4">
      <x:c r="A4" s="14" t="str">
        <x:v>FRED API</x:v>
      </x:c>
      <x:c r="B4" s="14" t="str">
        <x:v>https://fred.stlouisfed.org/docs/api/fred/</x:v>
      </x:c>
      <x:c r="C4" s="14" t="str">
        <x:v>Macroeconomic indicators</x:v>
      </x:c>
      <x:c r="D4" s="14" t="str">
        <x:v>Requires FRED API key</x:v>
      </x:c>
    </x:row>
    <x:row r="5">
      <x:c r="A5" s="14" t="str">
        <x:v>FRED API Key page</x:v>
      </x:c>
      <x:c r="B5" s="14" t="str">
        <x:v>https://fred.stlouisfed.org/docs/api/api_key.html</x:v>
      </x:c>
      <x:c r="C5" s="14" t="str">
        <x:v>API authentication</x:v>
      </x:c>
      <x:c r="D5" s="14" t="str">
        <x:v>All requests require API key</x:v>
      </x:c>
    </x:row>
    <x:row r="6">
      <x:c r="A6" s="14" t="str">
        <x:v>Google Antigravity</x:v>
      </x:c>
      <x:c r="B6" s="14" t="str">
        <x:v>https://antigravity.google/</x:v>
      </x:c>
      <x:c r="C6" s="14" t="str">
        <x:v>Browser/agent coding platform context</x:v>
      </x:c>
      <x:c r="D6" s="14" t="str">
        <x:v>Antigravity project zip contains single-file browser app</x:v>
      </x:c>
    </x:row>
  </x:sheetData>
  <x:pageMargins left="0.7" right="0.7" top="0.75" bottom="0.75" header="0.3" footer="0.3"/>
</x:worksheet>
</file>